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NLP\Project\f1s\"/>
    </mc:Choice>
  </mc:AlternateContent>
  <xr:revisionPtr revIDLastSave="0" documentId="13_ncr:1_{F2D378EB-2E54-4735-BBBF-B1C982F2E834}" xr6:coauthVersionLast="47" xr6:coauthVersionMax="47" xr10:uidLastSave="{00000000-0000-0000-0000-000000000000}"/>
  <bookViews>
    <workbookView xWindow="-120" yWindow="-120" windowWidth="29040" windowHeight="16440" activeTab="2" xr2:uid="{BE18E7E6-2453-4B5E-A0C1-D8879C77AF9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3" l="1"/>
  <c r="I55" i="3"/>
  <c r="G55" i="3"/>
  <c r="B55" i="3"/>
  <c r="C55" i="3"/>
  <c r="D55" i="3"/>
  <c r="E27" i="3"/>
  <c r="G24" i="3"/>
  <c r="H24" i="3"/>
  <c r="I24" i="3"/>
  <c r="B24" i="3"/>
  <c r="C24" i="3"/>
  <c r="D24" i="3"/>
  <c r="E34" i="2"/>
  <c r="E33" i="2"/>
  <c r="E32" i="2"/>
  <c r="E31" i="2"/>
  <c r="E30" i="2"/>
  <c r="D31" i="2"/>
  <c r="D30" i="2"/>
  <c r="E29" i="2"/>
  <c r="D29" i="2"/>
  <c r="D29" i="1" l="1"/>
  <c r="D30" i="1"/>
  <c r="D31" i="1"/>
  <c r="D32" i="1"/>
  <c r="D33" i="1"/>
  <c r="D34" i="1"/>
  <c r="D35" i="1"/>
  <c r="D36" i="1"/>
  <c r="D37" i="1"/>
  <c r="D38" i="1"/>
  <c r="C38" i="1"/>
  <c r="C37" i="1"/>
  <c r="C36" i="1"/>
  <c r="C35" i="1"/>
  <c r="C34" i="1"/>
  <c r="C33" i="1"/>
  <c r="C32" i="1"/>
  <c r="C31" i="1"/>
  <c r="C30" i="1"/>
  <c r="C29" i="1"/>
</calcChain>
</file>

<file path=xl/sharedStrings.xml><?xml version="1.0" encoding="utf-8"?>
<sst xmlns="http://schemas.openxmlformats.org/spreadsheetml/2006/main" count="160" uniqueCount="9">
  <si>
    <t>aucpr</t>
  </si>
  <si>
    <t>logloss</t>
  </si>
  <si>
    <t>dart</t>
  </si>
  <si>
    <t>gbtree</t>
  </si>
  <si>
    <t xml:space="preserve">gblinear </t>
  </si>
  <si>
    <t>auc</t>
  </si>
  <si>
    <t>error</t>
  </si>
  <si>
    <t>accuracy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</si>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</sst>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onsolas"/>
      <family val="3"/>
    </font>
    <font>
      <b/>
      <sz val="8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aucpr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Sheet1!$B$4:$B$12</c:f>
              <c:numCache>
                <c:formatCode>General</c:formatCode>
                <c:ptCount val="9"/>
                <c:pt idx="0">
                  <c:v>0.74450000000000005</c:v>
                </c:pt>
                <c:pt idx="1">
                  <c:v>0.75029999999999997</c:v>
                </c:pt>
                <c:pt idx="2">
                  <c:v>0.75460000000000005</c:v>
                </c:pt>
                <c:pt idx="3">
                  <c:v>0.75390000000000001</c:v>
                </c:pt>
                <c:pt idx="4">
                  <c:v>0.75460000000000005</c:v>
                </c:pt>
                <c:pt idx="5">
                  <c:v>0.75380000000000003</c:v>
                </c:pt>
                <c:pt idx="6">
                  <c:v>0.75529999999999997</c:v>
                </c:pt>
                <c:pt idx="7">
                  <c:v>0.75239999999999996</c:v>
                </c:pt>
                <c:pt idx="8">
                  <c:v>0.75170000000000003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6-406B-8538-AE6173FDD1F4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aucpr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Sheet1!$C$4:$C$12</c:f>
              <c:numCache>
                <c:formatCode>General</c:formatCode>
                <c:ptCount val="9"/>
                <c:pt idx="0">
                  <c:v>0.74180000000000001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0.75529999999999997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6-406B-8538-AE6173FDD1F4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aucpr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Sheet1!$D$4:$D$12</c:f>
              <c:numCache>
                <c:formatCode>General</c:formatCode>
                <c:ptCount val="9"/>
                <c:pt idx="0">
                  <c:v>0.7288</c:v>
                </c:pt>
                <c:pt idx="1">
                  <c:v>0.72589999999999999</c:v>
                </c:pt>
                <c:pt idx="2">
                  <c:v>0.72230000000000005</c:v>
                </c:pt>
                <c:pt idx="3">
                  <c:v>0.72230000000000005</c:v>
                </c:pt>
                <c:pt idx="4">
                  <c:v>0.71950000000000003</c:v>
                </c:pt>
                <c:pt idx="5">
                  <c:v>0.71660000000000001</c:v>
                </c:pt>
                <c:pt idx="6">
                  <c:v>0.71589999999999998</c:v>
                </c:pt>
                <c:pt idx="7">
                  <c:v>0.71589999999999998</c:v>
                </c:pt>
                <c:pt idx="8">
                  <c:v>0.71519999999999995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26-406B-8538-AE6173FDD1F4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aucpr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Sheet1!$E$4:$E$12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0.74519999999999997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0.75170000000000003</c:v>
                </c:pt>
                <c:pt idx="5">
                  <c:v>0.74809999999999999</c:v>
                </c:pt>
                <c:pt idx="6">
                  <c:v>0.74960000000000004</c:v>
                </c:pt>
                <c:pt idx="7">
                  <c:v>0.74590000000000001</c:v>
                </c:pt>
                <c:pt idx="8">
                  <c:v>0.74880000000000002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26-406B-8538-AE6173FDD1F4}"/>
            </c:ext>
          </c:extLst>
        </c:ser>
        <c:ser>
          <c:idx val="4"/>
          <c:order val="4"/>
          <c:tx>
            <c:strRef>
              <c:f>Sheet1!$F$1:$F$2</c:f>
              <c:strCache>
                <c:ptCount val="2"/>
                <c:pt idx="0">
                  <c:v>aucpr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Sheet1!$F$4:$F$12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0.74250000000000005</c:v>
                </c:pt>
                <c:pt idx="3">
                  <c:v>0.74250000000000005</c:v>
                </c:pt>
                <c:pt idx="4">
                  <c:v>0.74250000000000005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0.749</c:v>
                </c:pt>
                <c:pt idx="8">
                  <c:v>0.749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26-406B-8538-AE6173FDD1F4}"/>
            </c:ext>
          </c:extLst>
        </c:ser>
        <c:ser>
          <c:idx val="5"/>
          <c:order val="5"/>
          <c:tx>
            <c:strRef>
              <c:f>Sheet1!$G$1:$G$2</c:f>
              <c:strCache>
                <c:ptCount val="2"/>
                <c:pt idx="0">
                  <c:v>aucpr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Sheet1!$G$4:$G$12</c:f>
              <c:numCache>
                <c:formatCode>General</c:formatCode>
                <c:ptCount val="9"/>
                <c:pt idx="0">
                  <c:v>0.72809999999999997</c:v>
                </c:pt>
                <c:pt idx="1">
                  <c:v>0.72519999999999996</c:v>
                </c:pt>
                <c:pt idx="2">
                  <c:v>0.72299999999999998</c:v>
                </c:pt>
                <c:pt idx="3">
                  <c:v>0.72299999999999998</c:v>
                </c:pt>
                <c:pt idx="4">
                  <c:v>0.72019999999999995</c:v>
                </c:pt>
                <c:pt idx="5">
                  <c:v>0.71509999999999996</c:v>
                </c:pt>
                <c:pt idx="6">
                  <c:v>0.71799999999999997</c:v>
                </c:pt>
                <c:pt idx="7">
                  <c:v>0.7137</c:v>
                </c:pt>
                <c:pt idx="8">
                  <c:v>0.7137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26-406B-8538-AE6173FDD1F4}"/>
            </c:ext>
          </c:extLst>
        </c:ser>
        <c:ser>
          <c:idx val="6"/>
          <c:order val="6"/>
          <c:tx>
            <c:strRef>
              <c:f>Sheet1!$H$1:$H$2</c:f>
              <c:strCache>
                <c:ptCount val="2"/>
                <c:pt idx="0">
                  <c:v>logloss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Sheet1!$H$4:$H$12</c:f>
              <c:numCache>
                <c:formatCode>General</c:formatCode>
                <c:ptCount val="9"/>
                <c:pt idx="0">
                  <c:v>0.74450000000000005</c:v>
                </c:pt>
                <c:pt idx="1">
                  <c:v>0.75039999999999996</c:v>
                </c:pt>
                <c:pt idx="2">
                  <c:v>0.75470000000000004</c:v>
                </c:pt>
                <c:pt idx="3">
                  <c:v>0.754</c:v>
                </c:pt>
                <c:pt idx="4">
                  <c:v>0.75470000000000004</c:v>
                </c:pt>
                <c:pt idx="5">
                  <c:v>0.754</c:v>
                </c:pt>
                <c:pt idx="6">
                  <c:v>0.75539999999999996</c:v>
                </c:pt>
                <c:pt idx="7">
                  <c:v>0.75249999999999995</c:v>
                </c:pt>
                <c:pt idx="8">
                  <c:v>0.75180000000000002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26-406B-8538-AE6173FDD1F4}"/>
            </c:ext>
          </c:extLst>
        </c:ser>
        <c:ser>
          <c:idx val="7"/>
          <c:order val="7"/>
          <c:tx>
            <c:strRef>
              <c:f>Sheet1!$I$1:$I$2</c:f>
              <c:strCache>
                <c:ptCount val="2"/>
                <c:pt idx="0">
                  <c:v>logloss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Sheet1!$I$4:$I$12</c:f>
              <c:numCache>
                <c:formatCode>General</c:formatCode>
                <c:ptCount val="9"/>
                <c:pt idx="0">
                  <c:v>0.74170000000000003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26-406B-8538-AE6173FDD1F4}"/>
            </c:ext>
          </c:extLst>
        </c:ser>
        <c:ser>
          <c:idx val="8"/>
          <c:order val="8"/>
          <c:tx>
            <c:strRef>
              <c:f>Sheet1!$J$1:$J$2</c:f>
              <c:strCache>
                <c:ptCount val="2"/>
                <c:pt idx="0">
                  <c:v>logloss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Sheet1!$J$4:$J$12</c:f>
              <c:numCache>
                <c:formatCode>General</c:formatCode>
                <c:ptCount val="9"/>
                <c:pt idx="0">
                  <c:v>0.7288</c:v>
                </c:pt>
                <c:pt idx="1">
                  <c:v>0.72450000000000003</c:v>
                </c:pt>
                <c:pt idx="2">
                  <c:v>0.72370000000000001</c:v>
                </c:pt>
                <c:pt idx="3">
                  <c:v>0.72299999999999998</c:v>
                </c:pt>
                <c:pt idx="4">
                  <c:v>0.71870000000000001</c:v>
                </c:pt>
                <c:pt idx="5">
                  <c:v>0.71289999999999998</c:v>
                </c:pt>
                <c:pt idx="6">
                  <c:v>0.71509999999999996</c:v>
                </c:pt>
                <c:pt idx="7">
                  <c:v>0.71579999999999999</c:v>
                </c:pt>
                <c:pt idx="8">
                  <c:v>0.71579999999999999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26-406B-8538-AE6173FDD1F4}"/>
            </c:ext>
          </c:extLst>
        </c:ser>
        <c:ser>
          <c:idx val="9"/>
          <c:order val="9"/>
          <c:tx>
            <c:strRef>
              <c:f>Sheet1!$K$1:$K$2</c:f>
              <c:strCache>
                <c:ptCount val="2"/>
                <c:pt idx="0">
                  <c:v>logloss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Sheet1!$K$4:$K$12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0.74529999999999996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0.75180000000000002</c:v>
                </c:pt>
                <c:pt idx="5">
                  <c:v>0.74819999999999998</c:v>
                </c:pt>
                <c:pt idx="6">
                  <c:v>0.74960000000000004</c:v>
                </c:pt>
                <c:pt idx="7">
                  <c:v>0.746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26-406B-8538-AE6173FDD1F4}"/>
            </c:ext>
          </c:extLst>
        </c:ser>
        <c:ser>
          <c:idx val="10"/>
          <c:order val="10"/>
          <c:tx>
            <c:strRef>
              <c:f>Sheet1!$L$1:$L$2</c:f>
              <c:strCache>
                <c:ptCount val="2"/>
                <c:pt idx="0">
                  <c:v>logloss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Sheet1!$L$4:$L$12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0.74239999999999995</c:v>
                </c:pt>
                <c:pt idx="3">
                  <c:v>0.74239999999999995</c:v>
                </c:pt>
                <c:pt idx="4">
                  <c:v>0.74239999999999995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0.74890000000000001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26-406B-8538-AE6173FDD1F4}"/>
            </c:ext>
          </c:extLst>
        </c:ser>
        <c:ser>
          <c:idx val="11"/>
          <c:order val="11"/>
          <c:tx>
            <c:strRef>
              <c:f>Sheet1!$M$1:$M$2</c:f>
              <c:strCache>
                <c:ptCount val="2"/>
                <c:pt idx="0">
                  <c:v>logloss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Sheet1!$M$4:$M$12</c:f>
              <c:numCache>
                <c:formatCode>General</c:formatCode>
                <c:ptCount val="9"/>
                <c:pt idx="0">
                  <c:v>0.73019999999999996</c:v>
                </c:pt>
                <c:pt idx="1">
                  <c:v>0.72160000000000002</c:v>
                </c:pt>
                <c:pt idx="2">
                  <c:v>0.72450000000000003</c:v>
                </c:pt>
                <c:pt idx="3">
                  <c:v>0.72370000000000001</c:v>
                </c:pt>
                <c:pt idx="4">
                  <c:v>0.71870000000000001</c:v>
                </c:pt>
                <c:pt idx="5">
                  <c:v>0.71579999999999999</c:v>
                </c:pt>
                <c:pt idx="6">
                  <c:v>0.71579999999999999</c:v>
                </c:pt>
                <c:pt idx="7">
                  <c:v>0.71870000000000001</c:v>
                </c:pt>
                <c:pt idx="8">
                  <c:v>0.71650000000000003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26-406B-8538-AE6173FDD1F4}"/>
            </c:ext>
          </c:extLst>
        </c:ser>
        <c:ser>
          <c:idx val="12"/>
          <c:order val="12"/>
          <c:tx>
            <c:strRef>
              <c:f>Sheet1!$N$1:$N$2</c:f>
              <c:strCache>
                <c:ptCount val="2"/>
                <c:pt idx="0">
                  <c:v>auc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Sheet1!$N$4:$N$12</c:f>
              <c:numCache>
                <c:formatCode>General</c:formatCode>
                <c:ptCount val="9"/>
                <c:pt idx="0">
                  <c:v>0.74460000000000004</c:v>
                </c:pt>
                <c:pt idx="1">
                  <c:v>0.75039999999999996</c:v>
                </c:pt>
                <c:pt idx="2">
                  <c:v>0.75470000000000004</c:v>
                </c:pt>
                <c:pt idx="3">
                  <c:v>0.754</c:v>
                </c:pt>
                <c:pt idx="4">
                  <c:v>0.75470000000000004</c:v>
                </c:pt>
                <c:pt idx="5">
                  <c:v>0.754</c:v>
                </c:pt>
                <c:pt idx="6">
                  <c:v>0.75539999999999996</c:v>
                </c:pt>
                <c:pt idx="7">
                  <c:v>0.75249999999999995</c:v>
                </c:pt>
                <c:pt idx="8">
                  <c:v>0.75180000000000002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26-406B-8538-AE6173FDD1F4}"/>
            </c:ext>
          </c:extLst>
        </c:ser>
        <c:ser>
          <c:idx val="13"/>
          <c:order val="13"/>
          <c:tx>
            <c:strRef>
              <c:f>Sheet1!$O$1:$O$2</c:f>
              <c:strCache>
                <c:ptCount val="2"/>
                <c:pt idx="0">
                  <c:v>auc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Sheet1!$O$4:$O$12</c:f>
              <c:numCache>
                <c:formatCode>General</c:formatCode>
                <c:ptCount val="9"/>
                <c:pt idx="0">
                  <c:v>0.74170000000000003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26-406B-8538-AE6173FDD1F4}"/>
            </c:ext>
          </c:extLst>
        </c:ser>
        <c:ser>
          <c:idx val="14"/>
          <c:order val="14"/>
          <c:tx>
            <c:strRef>
              <c:f>Sheet1!$P$1:$P$2</c:f>
              <c:strCache>
                <c:ptCount val="2"/>
                <c:pt idx="0">
                  <c:v>auc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Sheet1!$P$4:$P$12</c:f>
              <c:numCache>
                <c:formatCode>General</c:formatCode>
                <c:ptCount val="9"/>
                <c:pt idx="0">
                  <c:v>0.73019999999999996</c:v>
                </c:pt>
                <c:pt idx="1">
                  <c:v>0.72089999999999999</c:v>
                </c:pt>
                <c:pt idx="2">
                  <c:v>0.72299999999999998</c:v>
                </c:pt>
                <c:pt idx="3">
                  <c:v>0.72299999999999998</c:v>
                </c:pt>
                <c:pt idx="4">
                  <c:v>0.71799999999999997</c:v>
                </c:pt>
                <c:pt idx="5">
                  <c:v>0.71440000000000003</c:v>
                </c:pt>
                <c:pt idx="6">
                  <c:v>0.71650000000000003</c:v>
                </c:pt>
                <c:pt idx="7">
                  <c:v>0.71730000000000005</c:v>
                </c:pt>
                <c:pt idx="8">
                  <c:v>0.71440000000000003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26-406B-8538-AE6173FDD1F4}"/>
            </c:ext>
          </c:extLst>
        </c:ser>
        <c:ser>
          <c:idx val="15"/>
          <c:order val="15"/>
          <c:tx>
            <c:strRef>
              <c:f>Sheet1!$Q$1:$Q$2</c:f>
              <c:strCache>
                <c:ptCount val="2"/>
                <c:pt idx="0">
                  <c:v>auc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Sheet1!$Q$4:$Q$12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0.74529999999999996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0.75180000000000002</c:v>
                </c:pt>
                <c:pt idx="5">
                  <c:v>0.74819999999999998</c:v>
                </c:pt>
                <c:pt idx="6">
                  <c:v>0.74960000000000004</c:v>
                </c:pt>
                <c:pt idx="7">
                  <c:v>0.746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26-406B-8538-AE6173FDD1F4}"/>
            </c:ext>
          </c:extLst>
        </c:ser>
        <c:ser>
          <c:idx val="16"/>
          <c:order val="16"/>
          <c:tx>
            <c:strRef>
              <c:f>Sheet1!$R$1:$R$2</c:f>
              <c:strCache>
                <c:ptCount val="2"/>
                <c:pt idx="0">
                  <c:v>auc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Sheet1!$R$4:$R$12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0.74239999999999995</c:v>
                </c:pt>
                <c:pt idx="3">
                  <c:v>0.74239999999999995</c:v>
                </c:pt>
                <c:pt idx="4">
                  <c:v>0.74239999999999995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0.74890000000000001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26-406B-8538-AE6173FDD1F4}"/>
            </c:ext>
          </c:extLst>
        </c:ser>
        <c:ser>
          <c:idx val="17"/>
          <c:order val="17"/>
          <c:tx>
            <c:strRef>
              <c:f>Sheet1!$S$1:$S$2</c:f>
              <c:strCache>
                <c:ptCount val="2"/>
                <c:pt idx="0">
                  <c:v>auc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Sheet1!$S$4:$S$12</c:f>
              <c:numCache>
                <c:formatCode>General</c:formatCode>
                <c:ptCount val="9"/>
                <c:pt idx="0">
                  <c:v>0.73019999999999996</c:v>
                </c:pt>
                <c:pt idx="1">
                  <c:v>0.72370000000000001</c:v>
                </c:pt>
                <c:pt idx="2">
                  <c:v>0.72230000000000005</c:v>
                </c:pt>
                <c:pt idx="3">
                  <c:v>0.72299999999999998</c:v>
                </c:pt>
                <c:pt idx="4">
                  <c:v>0.72009999999999996</c:v>
                </c:pt>
                <c:pt idx="5">
                  <c:v>0.71509999999999996</c:v>
                </c:pt>
                <c:pt idx="6">
                  <c:v>0.71650000000000003</c:v>
                </c:pt>
                <c:pt idx="7">
                  <c:v>0.71730000000000005</c:v>
                </c:pt>
                <c:pt idx="8">
                  <c:v>0.71509999999999996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26-406B-8538-AE6173FDD1F4}"/>
            </c:ext>
          </c:extLst>
        </c:ser>
        <c:ser>
          <c:idx val="18"/>
          <c:order val="18"/>
          <c:tx>
            <c:strRef>
              <c:f>Sheet1!$T$1:$T$2</c:f>
              <c:strCache>
                <c:ptCount val="2"/>
                <c:pt idx="0">
                  <c:v>error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Sheet1!$T$4:$T$12</c:f>
              <c:numCache>
                <c:formatCode>General</c:formatCode>
                <c:ptCount val="9"/>
                <c:pt idx="0">
                  <c:v>0.74460000000000004</c:v>
                </c:pt>
                <c:pt idx="1">
                  <c:v>0.75039999999999996</c:v>
                </c:pt>
                <c:pt idx="2">
                  <c:v>0.75470000000000004</c:v>
                </c:pt>
                <c:pt idx="3">
                  <c:v>0.754</c:v>
                </c:pt>
                <c:pt idx="4">
                  <c:v>0.75470000000000004</c:v>
                </c:pt>
                <c:pt idx="5">
                  <c:v>0.754</c:v>
                </c:pt>
                <c:pt idx="6">
                  <c:v>0.75539999999999996</c:v>
                </c:pt>
                <c:pt idx="7">
                  <c:v>0.75249999999999995</c:v>
                </c:pt>
                <c:pt idx="8">
                  <c:v>0.75180000000000002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26-406B-8538-AE6173FDD1F4}"/>
            </c:ext>
          </c:extLst>
        </c:ser>
        <c:ser>
          <c:idx val="19"/>
          <c:order val="19"/>
          <c:tx>
            <c:strRef>
              <c:f>Sheet1!$U$1:$U$2</c:f>
              <c:strCache>
                <c:ptCount val="2"/>
                <c:pt idx="0">
                  <c:v>error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Sheet1!$U$4:$U$12</c:f>
              <c:numCache>
                <c:formatCode>General</c:formatCode>
                <c:ptCount val="9"/>
                <c:pt idx="0">
                  <c:v>0.74170000000000003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26-406B-8538-AE6173FDD1F4}"/>
            </c:ext>
          </c:extLst>
        </c:ser>
        <c:ser>
          <c:idx val="20"/>
          <c:order val="20"/>
          <c:tx>
            <c:strRef>
              <c:f>Sheet1!$V$1:$V$2</c:f>
              <c:strCache>
                <c:ptCount val="2"/>
                <c:pt idx="0">
                  <c:v>error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Sheet1!$V$4:$V$12</c:f>
              <c:numCache>
                <c:formatCode>General</c:formatCode>
                <c:ptCount val="9"/>
                <c:pt idx="0">
                  <c:v>0.72589999999999999</c:v>
                </c:pt>
                <c:pt idx="1">
                  <c:v>0.72450000000000003</c:v>
                </c:pt>
                <c:pt idx="2">
                  <c:v>0.72299999999999998</c:v>
                </c:pt>
                <c:pt idx="3">
                  <c:v>0.72450000000000003</c:v>
                </c:pt>
                <c:pt idx="4">
                  <c:v>0.72009999999999996</c:v>
                </c:pt>
                <c:pt idx="5">
                  <c:v>0.71440000000000003</c:v>
                </c:pt>
                <c:pt idx="6">
                  <c:v>0.71730000000000005</c:v>
                </c:pt>
                <c:pt idx="7">
                  <c:v>0.71940000000000004</c:v>
                </c:pt>
                <c:pt idx="8">
                  <c:v>0.71650000000000003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726-406B-8538-AE6173FDD1F4}"/>
            </c:ext>
          </c:extLst>
        </c:ser>
        <c:ser>
          <c:idx val="21"/>
          <c:order val="21"/>
          <c:tx>
            <c:strRef>
              <c:f>Sheet1!$W$1:$W$2</c:f>
              <c:strCache>
                <c:ptCount val="2"/>
                <c:pt idx="0">
                  <c:v>error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Sheet1!$W$4:$W$12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0.74529999999999996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0.75180000000000002</c:v>
                </c:pt>
                <c:pt idx="5">
                  <c:v>0.74819999999999998</c:v>
                </c:pt>
                <c:pt idx="6">
                  <c:v>0.74960000000000004</c:v>
                </c:pt>
                <c:pt idx="7">
                  <c:v>0.746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726-406B-8538-AE6173FDD1F4}"/>
            </c:ext>
          </c:extLst>
        </c:ser>
        <c:ser>
          <c:idx val="22"/>
          <c:order val="22"/>
          <c:tx>
            <c:strRef>
              <c:f>Sheet1!$X$1:$X$2</c:f>
              <c:strCache>
                <c:ptCount val="2"/>
                <c:pt idx="0">
                  <c:v>error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Sheet1!$X$4:$X$12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0.74239999999999995</c:v>
                </c:pt>
                <c:pt idx="3">
                  <c:v>0.74239999999999995</c:v>
                </c:pt>
                <c:pt idx="4">
                  <c:v>0.74239999999999995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0.74890000000000001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726-406B-8538-AE6173FDD1F4}"/>
            </c:ext>
          </c:extLst>
        </c:ser>
        <c:ser>
          <c:idx val="23"/>
          <c:order val="23"/>
          <c:tx>
            <c:strRef>
              <c:f>Sheet1!$Y$1:$Y$2</c:f>
              <c:strCache>
                <c:ptCount val="2"/>
                <c:pt idx="0">
                  <c:v>error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Sheet1!$A$4:$A$12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Sheet1!$Y$4:$Y$12</c:f>
              <c:numCache>
                <c:formatCode>General</c:formatCode>
                <c:ptCount val="9"/>
                <c:pt idx="0">
                  <c:v>0.7288</c:v>
                </c:pt>
                <c:pt idx="1">
                  <c:v>0.72299999999999998</c:v>
                </c:pt>
                <c:pt idx="2">
                  <c:v>0.72299999999999998</c:v>
                </c:pt>
                <c:pt idx="3">
                  <c:v>0.72299999999999998</c:v>
                </c:pt>
                <c:pt idx="4">
                  <c:v>0.72089999999999999</c:v>
                </c:pt>
                <c:pt idx="5">
                  <c:v>0.71509999999999996</c:v>
                </c:pt>
                <c:pt idx="6">
                  <c:v>0.71579999999999999</c:v>
                </c:pt>
                <c:pt idx="7">
                  <c:v>0.71730000000000005</c:v>
                </c:pt>
                <c:pt idx="8">
                  <c:v>0.71440000000000003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726-406B-8538-AE6173FD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679264"/>
        <c:axId val="572689344"/>
      </c:lineChart>
      <c:catAx>
        <c:axId val="57267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89344"/>
        <c:crosses val="autoZero"/>
        <c:auto val="1"/>
        <c:lblAlgn val="ctr"/>
        <c:lblOffset val="100"/>
        <c:noMultiLvlLbl val="0"/>
      </c:catAx>
      <c:valAx>
        <c:axId val="5726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7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Sheet1!$B$14:$B$15</c:f>
              <c:strCache>
                <c:ptCount val="2"/>
                <c:pt idx="0">
                  <c:v>aucpr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Sheet1!$B$17:$B$25</c:f>
              <c:numCache>
                <c:formatCode>General</c:formatCode>
                <c:ptCount val="9"/>
                <c:pt idx="0">
                  <c:v>0.74460000000000004</c:v>
                </c:pt>
                <c:pt idx="1">
                  <c:v>0.75039999999999996</c:v>
                </c:pt>
                <c:pt idx="2">
                  <c:v>0.75470000000000004</c:v>
                </c:pt>
                <c:pt idx="3">
                  <c:v>0.754</c:v>
                </c:pt>
                <c:pt idx="4">
                  <c:v>0.75470000000000004</c:v>
                </c:pt>
                <c:pt idx="5">
                  <c:v>0.754</c:v>
                </c:pt>
                <c:pt idx="6">
                  <c:v>0.75539999999999996</c:v>
                </c:pt>
                <c:pt idx="7">
                  <c:v>0.75249999999999995</c:v>
                </c:pt>
                <c:pt idx="8">
                  <c:v>0.75180000000000002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5-4539-906F-0ECB4BFD7DE4}"/>
            </c:ext>
          </c:extLst>
        </c:ser>
        <c:ser>
          <c:idx val="1"/>
          <c:order val="1"/>
          <c:tx>
            <c:strRef>
              <c:f>Sheet1!$C$14:$C$15</c:f>
              <c:strCache>
                <c:ptCount val="2"/>
                <c:pt idx="0">
                  <c:v>aucpr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Sheet1!$C$17:$C$25</c:f>
              <c:numCache>
                <c:formatCode>General</c:formatCode>
                <c:ptCount val="9"/>
                <c:pt idx="0">
                  <c:v>0.74170000000000003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5-4539-906F-0ECB4BFD7DE4}"/>
            </c:ext>
          </c:extLst>
        </c:ser>
        <c:ser>
          <c:idx val="2"/>
          <c:order val="2"/>
          <c:tx>
            <c:strRef>
              <c:f>Sheet1!$D$14:$D$15</c:f>
              <c:strCache>
                <c:ptCount val="2"/>
                <c:pt idx="0">
                  <c:v>aucpr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Sheet1!$D$17:$D$25</c:f>
              <c:numCache>
                <c:formatCode>General</c:formatCode>
                <c:ptCount val="9"/>
                <c:pt idx="0">
                  <c:v>0.7288</c:v>
                </c:pt>
                <c:pt idx="1">
                  <c:v>0.72589999999999999</c:v>
                </c:pt>
                <c:pt idx="2">
                  <c:v>0.72230000000000005</c:v>
                </c:pt>
                <c:pt idx="3">
                  <c:v>0.72230000000000005</c:v>
                </c:pt>
                <c:pt idx="4">
                  <c:v>0.71940000000000004</c:v>
                </c:pt>
                <c:pt idx="5">
                  <c:v>0.71650000000000003</c:v>
                </c:pt>
                <c:pt idx="6">
                  <c:v>0.71579999999999999</c:v>
                </c:pt>
                <c:pt idx="7">
                  <c:v>0.71579999999999999</c:v>
                </c:pt>
                <c:pt idx="8">
                  <c:v>0.71509999999999996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B5-4539-906F-0ECB4BFD7DE4}"/>
            </c:ext>
          </c:extLst>
        </c:ser>
        <c:ser>
          <c:idx val="3"/>
          <c:order val="3"/>
          <c:tx>
            <c:strRef>
              <c:f>Sheet1!$E$14:$E$15</c:f>
              <c:strCache>
                <c:ptCount val="2"/>
                <c:pt idx="0">
                  <c:v>aucpr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Sheet1!$E$17:$E$25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0.74529999999999996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0.75180000000000002</c:v>
                </c:pt>
                <c:pt idx="5">
                  <c:v>0.74819999999999998</c:v>
                </c:pt>
                <c:pt idx="6">
                  <c:v>0.74960000000000004</c:v>
                </c:pt>
                <c:pt idx="7">
                  <c:v>0.746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B5-4539-906F-0ECB4BFD7DE4}"/>
            </c:ext>
          </c:extLst>
        </c:ser>
        <c:ser>
          <c:idx val="4"/>
          <c:order val="4"/>
          <c:tx>
            <c:strRef>
              <c:f>Sheet1!$F$14:$F$15</c:f>
              <c:strCache>
                <c:ptCount val="2"/>
                <c:pt idx="0">
                  <c:v>aucpr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Sheet1!$F$17:$F$25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0.74239999999999995</c:v>
                </c:pt>
                <c:pt idx="3">
                  <c:v>0.74239999999999995</c:v>
                </c:pt>
                <c:pt idx="4">
                  <c:v>0.74239999999999995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0.74890000000000001</c:v>
                </c:pt>
                <c:pt idx="8">
                  <c:v>0.74890000000000001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B5-4539-906F-0ECB4BFD7DE4}"/>
            </c:ext>
          </c:extLst>
        </c:ser>
        <c:ser>
          <c:idx val="5"/>
          <c:order val="5"/>
          <c:tx>
            <c:strRef>
              <c:f>Sheet1!$G$14:$G$15</c:f>
              <c:strCache>
                <c:ptCount val="2"/>
                <c:pt idx="0">
                  <c:v>aucpr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Sheet1!$G$17:$G$25</c:f>
              <c:numCache>
                <c:formatCode>General</c:formatCode>
                <c:ptCount val="9"/>
                <c:pt idx="0">
                  <c:v>0.72809999999999997</c:v>
                </c:pt>
                <c:pt idx="1">
                  <c:v>0.72519999999999996</c:v>
                </c:pt>
                <c:pt idx="2">
                  <c:v>0.72299999999999998</c:v>
                </c:pt>
                <c:pt idx="3">
                  <c:v>0.72299999999999998</c:v>
                </c:pt>
                <c:pt idx="4">
                  <c:v>0.72009999999999996</c:v>
                </c:pt>
                <c:pt idx="5">
                  <c:v>0.71509999999999996</c:v>
                </c:pt>
                <c:pt idx="6">
                  <c:v>0.71799999999999997</c:v>
                </c:pt>
                <c:pt idx="7">
                  <c:v>0.7137</c:v>
                </c:pt>
                <c:pt idx="8">
                  <c:v>0.7137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B5-4539-906F-0ECB4BFD7DE4}"/>
            </c:ext>
          </c:extLst>
        </c:ser>
        <c:ser>
          <c:idx val="6"/>
          <c:order val="6"/>
          <c:tx>
            <c:strRef>
              <c:f>Sheet1!$H$14:$H$15</c:f>
              <c:strCache>
                <c:ptCount val="2"/>
                <c:pt idx="0">
                  <c:v>logloss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Sheet1!$H$17:$H$25</c:f>
              <c:numCache>
                <c:formatCode>General</c:formatCode>
                <c:ptCount val="9"/>
                <c:pt idx="0">
                  <c:v>0.74460000000000004</c:v>
                </c:pt>
                <c:pt idx="1">
                  <c:v>0.75029999999999997</c:v>
                </c:pt>
                <c:pt idx="2">
                  <c:v>0.75460000000000005</c:v>
                </c:pt>
                <c:pt idx="3">
                  <c:v>0.75390000000000001</c:v>
                </c:pt>
                <c:pt idx="4">
                  <c:v>0.75460000000000005</c:v>
                </c:pt>
                <c:pt idx="5">
                  <c:v>0.75380000000000003</c:v>
                </c:pt>
                <c:pt idx="6">
                  <c:v>0.75529999999999997</c:v>
                </c:pt>
                <c:pt idx="7">
                  <c:v>0.75239999999999996</c:v>
                </c:pt>
                <c:pt idx="8">
                  <c:v>0.75170000000000003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B5-4539-906F-0ECB4BFD7DE4}"/>
            </c:ext>
          </c:extLst>
        </c:ser>
        <c:ser>
          <c:idx val="7"/>
          <c:order val="7"/>
          <c:tx>
            <c:strRef>
              <c:f>Sheet1!$I$14:$I$15</c:f>
              <c:strCache>
                <c:ptCount val="2"/>
                <c:pt idx="0">
                  <c:v>logloss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Sheet1!$I$17:$I$25</c:f>
              <c:numCache>
                <c:formatCode>General</c:formatCode>
                <c:ptCount val="9"/>
                <c:pt idx="0">
                  <c:v>0.74180000000000001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B5-4539-906F-0ECB4BFD7DE4}"/>
            </c:ext>
          </c:extLst>
        </c:ser>
        <c:ser>
          <c:idx val="8"/>
          <c:order val="8"/>
          <c:tx>
            <c:strRef>
              <c:f>Sheet1!$J$14:$J$15</c:f>
              <c:strCache>
                <c:ptCount val="2"/>
                <c:pt idx="0">
                  <c:v>logloss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Sheet1!$J$17:$J$25</c:f>
              <c:numCache>
                <c:formatCode>General</c:formatCode>
                <c:ptCount val="9"/>
                <c:pt idx="0">
                  <c:v>0.7288</c:v>
                </c:pt>
                <c:pt idx="1">
                  <c:v>0.72450000000000003</c:v>
                </c:pt>
                <c:pt idx="2">
                  <c:v>0.7238</c:v>
                </c:pt>
                <c:pt idx="3">
                  <c:v>0.72309999999999997</c:v>
                </c:pt>
                <c:pt idx="4">
                  <c:v>0.71870000000000001</c:v>
                </c:pt>
                <c:pt idx="5">
                  <c:v>0.71299999999999997</c:v>
                </c:pt>
                <c:pt idx="6">
                  <c:v>0.71509999999999996</c:v>
                </c:pt>
                <c:pt idx="7">
                  <c:v>0.71589999999999998</c:v>
                </c:pt>
                <c:pt idx="8">
                  <c:v>0.71589999999999998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B5-4539-906F-0ECB4BFD7DE4}"/>
            </c:ext>
          </c:extLst>
        </c:ser>
        <c:ser>
          <c:idx val="9"/>
          <c:order val="9"/>
          <c:tx>
            <c:strRef>
              <c:f>Sheet1!$K$14:$K$15</c:f>
              <c:strCache>
                <c:ptCount val="2"/>
                <c:pt idx="0">
                  <c:v>logloss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Sheet1!$K$17:$K$25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0.74519999999999997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0.75170000000000003</c:v>
                </c:pt>
                <c:pt idx="5">
                  <c:v>0.74809999999999999</c:v>
                </c:pt>
                <c:pt idx="6">
                  <c:v>0.74960000000000004</c:v>
                </c:pt>
                <c:pt idx="7">
                  <c:v>0.74590000000000001</c:v>
                </c:pt>
                <c:pt idx="8">
                  <c:v>0.74880000000000002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B5-4539-906F-0ECB4BFD7DE4}"/>
            </c:ext>
          </c:extLst>
        </c:ser>
        <c:ser>
          <c:idx val="10"/>
          <c:order val="10"/>
          <c:tx>
            <c:strRef>
              <c:f>Sheet1!$L$14:$L$15</c:f>
              <c:strCache>
                <c:ptCount val="2"/>
                <c:pt idx="0">
                  <c:v>logloss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Sheet1!$L$17:$L$25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0.74250000000000005</c:v>
                </c:pt>
                <c:pt idx="3">
                  <c:v>0.74250000000000005</c:v>
                </c:pt>
                <c:pt idx="4">
                  <c:v>0.74250000000000005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0.749</c:v>
                </c:pt>
                <c:pt idx="8">
                  <c:v>0.749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B5-4539-906F-0ECB4BFD7DE4}"/>
            </c:ext>
          </c:extLst>
        </c:ser>
        <c:ser>
          <c:idx val="11"/>
          <c:order val="11"/>
          <c:tx>
            <c:strRef>
              <c:f>Sheet1!$M$14:$M$15</c:f>
              <c:strCache>
                <c:ptCount val="2"/>
                <c:pt idx="0">
                  <c:v>logloss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Sheet1!$M$17:$M$25</c:f>
              <c:numCache>
                <c:formatCode>General</c:formatCode>
                <c:ptCount val="9"/>
                <c:pt idx="0">
                  <c:v>0.73019999999999996</c:v>
                </c:pt>
                <c:pt idx="1">
                  <c:v>0.72160000000000002</c:v>
                </c:pt>
                <c:pt idx="2">
                  <c:v>0.72450000000000003</c:v>
                </c:pt>
                <c:pt idx="3">
                  <c:v>0.7238</c:v>
                </c:pt>
                <c:pt idx="4">
                  <c:v>0.71870000000000001</c:v>
                </c:pt>
                <c:pt idx="5">
                  <c:v>0.71579999999999999</c:v>
                </c:pt>
                <c:pt idx="6">
                  <c:v>0.71579999999999999</c:v>
                </c:pt>
                <c:pt idx="7">
                  <c:v>0.71870000000000001</c:v>
                </c:pt>
                <c:pt idx="8">
                  <c:v>0.71660000000000001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B5-4539-906F-0ECB4BFD7DE4}"/>
            </c:ext>
          </c:extLst>
        </c:ser>
        <c:ser>
          <c:idx val="12"/>
          <c:order val="12"/>
          <c:tx>
            <c:strRef>
              <c:f>Sheet1!$N$14:$N$15</c:f>
              <c:strCache>
                <c:ptCount val="2"/>
                <c:pt idx="0">
                  <c:v>auc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Sheet1!$N$17:$N$25</c:f>
              <c:numCache>
                <c:formatCode>General</c:formatCode>
                <c:ptCount val="9"/>
                <c:pt idx="0">
                  <c:v>0.74450000000000005</c:v>
                </c:pt>
                <c:pt idx="1">
                  <c:v>0.75029999999999997</c:v>
                </c:pt>
                <c:pt idx="2">
                  <c:v>0.75460000000000005</c:v>
                </c:pt>
                <c:pt idx="3">
                  <c:v>0.75390000000000001</c:v>
                </c:pt>
                <c:pt idx="4">
                  <c:v>0.75460000000000005</c:v>
                </c:pt>
                <c:pt idx="5">
                  <c:v>0.75380000000000003</c:v>
                </c:pt>
                <c:pt idx="6">
                  <c:v>0.75529999999999997</c:v>
                </c:pt>
                <c:pt idx="7">
                  <c:v>0.75239999999999996</c:v>
                </c:pt>
                <c:pt idx="8">
                  <c:v>0.75170000000000003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7B5-4539-906F-0ECB4BFD7DE4}"/>
            </c:ext>
          </c:extLst>
        </c:ser>
        <c:ser>
          <c:idx val="13"/>
          <c:order val="13"/>
          <c:tx>
            <c:strRef>
              <c:f>Sheet1!$O$14:$O$15</c:f>
              <c:strCache>
                <c:ptCount val="2"/>
                <c:pt idx="0">
                  <c:v>auc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Sheet1!$O$17:$O$25</c:f>
              <c:numCache>
                <c:formatCode>General</c:formatCode>
                <c:ptCount val="9"/>
                <c:pt idx="0">
                  <c:v>0.74180000000000001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B5-4539-906F-0ECB4BFD7DE4}"/>
            </c:ext>
          </c:extLst>
        </c:ser>
        <c:ser>
          <c:idx val="14"/>
          <c:order val="14"/>
          <c:tx>
            <c:strRef>
              <c:f>Sheet1!$P$14:$P$15</c:f>
              <c:strCache>
                <c:ptCount val="2"/>
                <c:pt idx="0">
                  <c:v>auc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Sheet1!$P$17:$P$25</c:f>
              <c:numCache>
                <c:formatCode>General</c:formatCode>
                <c:ptCount val="9"/>
                <c:pt idx="0">
                  <c:v>0.73019999999999996</c:v>
                </c:pt>
                <c:pt idx="1">
                  <c:v>0.72089999999999999</c:v>
                </c:pt>
                <c:pt idx="2">
                  <c:v>0.72299999999999998</c:v>
                </c:pt>
                <c:pt idx="3">
                  <c:v>0.72309999999999997</c:v>
                </c:pt>
                <c:pt idx="4">
                  <c:v>0.71799999999999997</c:v>
                </c:pt>
                <c:pt idx="5">
                  <c:v>0.71440000000000003</c:v>
                </c:pt>
                <c:pt idx="6">
                  <c:v>0.71660000000000001</c:v>
                </c:pt>
                <c:pt idx="7">
                  <c:v>0.71730000000000005</c:v>
                </c:pt>
                <c:pt idx="8">
                  <c:v>0.71440000000000003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B5-4539-906F-0ECB4BFD7DE4}"/>
            </c:ext>
          </c:extLst>
        </c:ser>
        <c:ser>
          <c:idx val="15"/>
          <c:order val="15"/>
          <c:tx>
            <c:strRef>
              <c:f>Sheet1!$Q$14:$Q$15</c:f>
              <c:strCache>
                <c:ptCount val="2"/>
                <c:pt idx="0">
                  <c:v>auc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Sheet1!$Q$17:$Q$25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0.74519999999999997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0.75170000000000003</c:v>
                </c:pt>
                <c:pt idx="5">
                  <c:v>0.74809999999999999</c:v>
                </c:pt>
                <c:pt idx="6">
                  <c:v>0.74960000000000004</c:v>
                </c:pt>
                <c:pt idx="7">
                  <c:v>0.74590000000000001</c:v>
                </c:pt>
                <c:pt idx="8">
                  <c:v>0.74880000000000002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B5-4539-906F-0ECB4BFD7DE4}"/>
            </c:ext>
          </c:extLst>
        </c:ser>
        <c:ser>
          <c:idx val="16"/>
          <c:order val="16"/>
          <c:tx>
            <c:strRef>
              <c:f>Sheet1!$R$14:$R$15</c:f>
              <c:strCache>
                <c:ptCount val="2"/>
                <c:pt idx="0">
                  <c:v>auc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Sheet1!$R$17:$R$25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0.74250000000000005</c:v>
                </c:pt>
                <c:pt idx="3">
                  <c:v>0.74250000000000005</c:v>
                </c:pt>
                <c:pt idx="4">
                  <c:v>0.74250000000000005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0.74890000000000001</c:v>
                </c:pt>
                <c:pt idx="8">
                  <c:v>0.749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B5-4539-906F-0ECB4BFD7DE4}"/>
            </c:ext>
          </c:extLst>
        </c:ser>
        <c:ser>
          <c:idx val="17"/>
          <c:order val="17"/>
          <c:tx>
            <c:strRef>
              <c:f>Sheet1!$S$14:$S$15</c:f>
              <c:strCache>
                <c:ptCount val="2"/>
                <c:pt idx="0">
                  <c:v>auc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Sheet1!$S$17:$S$25</c:f>
              <c:numCache>
                <c:formatCode>General</c:formatCode>
                <c:ptCount val="9"/>
                <c:pt idx="0">
                  <c:v>0.73019999999999996</c:v>
                </c:pt>
                <c:pt idx="1">
                  <c:v>0.7238</c:v>
                </c:pt>
                <c:pt idx="2">
                  <c:v>0.72230000000000005</c:v>
                </c:pt>
                <c:pt idx="3">
                  <c:v>0.72309999999999997</c:v>
                </c:pt>
                <c:pt idx="4">
                  <c:v>0.72019999999999995</c:v>
                </c:pt>
                <c:pt idx="5">
                  <c:v>0.71519999999999995</c:v>
                </c:pt>
                <c:pt idx="6">
                  <c:v>0.71660000000000001</c:v>
                </c:pt>
                <c:pt idx="7">
                  <c:v>0.71730000000000005</c:v>
                </c:pt>
                <c:pt idx="8">
                  <c:v>0.71509999999999996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B5-4539-906F-0ECB4BFD7DE4}"/>
            </c:ext>
          </c:extLst>
        </c:ser>
        <c:ser>
          <c:idx val="18"/>
          <c:order val="18"/>
          <c:tx>
            <c:strRef>
              <c:f>Sheet1!$T$14:$T$15</c:f>
              <c:strCache>
                <c:ptCount val="2"/>
                <c:pt idx="0">
                  <c:v>error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Sheet1!$T$17:$T$25</c:f>
              <c:numCache>
                <c:formatCode>General</c:formatCode>
                <c:ptCount val="9"/>
                <c:pt idx="0">
                  <c:v>0.74450000000000005</c:v>
                </c:pt>
                <c:pt idx="1">
                  <c:v>0.75029999999999997</c:v>
                </c:pt>
                <c:pt idx="2">
                  <c:v>0.75460000000000005</c:v>
                </c:pt>
                <c:pt idx="3">
                  <c:v>0.75390000000000001</c:v>
                </c:pt>
                <c:pt idx="4">
                  <c:v>0.75460000000000005</c:v>
                </c:pt>
                <c:pt idx="5">
                  <c:v>0.75380000000000003</c:v>
                </c:pt>
                <c:pt idx="6">
                  <c:v>0.75529999999999997</c:v>
                </c:pt>
                <c:pt idx="7">
                  <c:v>0.75239999999999996</c:v>
                </c:pt>
                <c:pt idx="8">
                  <c:v>0.75170000000000003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B5-4539-906F-0ECB4BFD7DE4}"/>
            </c:ext>
          </c:extLst>
        </c:ser>
        <c:ser>
          <c:idx val="19"/>
          <c:order val="19"/>
          <c:tx>
            <c:strRef>
              <c:f>Sheet1!$U$14:$U$15</c:f>
              <c:strCache>
                <c:ptCount val="2"/>
                <c:pt idx="0">
                  <c:v>error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Sheet1!$U$17:$U$25</c:f>
              <c:numCache>
                <c:formatCode>General</c:formatCode>
                <c:ptCount val="9"/>
                <c:pt idx="0">
                  <c:v>0.74180000000000001</c:v>
                </c:pt>
                <c:pt idx="1">
                  <c:v>0.74529999999999996</c:v>
                </c:pt>
                <c:pt idx="2">
                  <c:v>0.74680000000000002</c:v>
                </c:pt>
                <c:pt idx="3">
                  <c:v>0.74819999999999998</c:v>
                </c:pt>
                <c:pt idx="4">
                  <c:v>0.74819999999999998</c:v>
                </c:pt>
                <c:pt idx="5">
                  <c:v>0.75109999999999999</c:v>
                </c:pt>
                <c:pt idx="6">
                  <c:v>0.74819999999999998</c:v>
                </c:pt>
                <c:pt idx="7">
                  <c:v>0.75180000000000002</c:v>
                </c:pt>
                <c:pt idx="8">
                  <c:v>0.75109999999999999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B5-4539-906F-0ECB4BFD7DE4}"/>
            </c:ext>
          </c:extLst>
        </c:ser>
        <c:ser>
          <c:idx val="20"/>
          <c:order val="20"/>
          <c:tx>
            <c:strRef>
              <c:f>Sheet1!$V$14:$V$15</c:f>
              <c:strCache>
                <c:ptCount val="2"/>
                <c:pt idx="0">
                  <c:v>error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Sheet1!$V$17:$V$25</c:f>
              <c:numCache>
                <c:formatCode>General</c:formatCode>
                <c:ptCount val="9"/>
                <c:pt idx="0">
                  <c:v>0.72589999999999999</c:v>
                </c:pt>
                <c:pt idx="1">
                  <c:v>0.72450000000000003</c:v>
                </c:pt>
                <c:pt idx="2">
                  <c:v>0.72299999999999998</c:v>
                </c:pt>
                <c:pt idx="3">
                  <c:v>0.72450000000000003</c:v>
                </c:pt>
                <c:pt idx="4">
                  <c:v>0.72019999999999995</c:v>
                </c:pt>
                <c:pt idx="5">
                  <c:v>0.71440000000000003</c:v>
                </c:pt>
                <c:pt idx="6">
                  <c:v>0.71730000000000005</c:v>
                </c:pt>
                <c:pt idx="7">
                  <c:v>0.71950000000000003</c:v>
                </c:pt>
                <c:pt idx="8">
                  <c:v>0.71660000000000001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B5-4539-906F-0ECB4BFD7DE4}"/>
            </c:ext>
          </c:extLst>
        </c:ser>
        <c:ser>
          <c:idx val="21"/>
          <c:order val="21"/>
          <c:tx>
            <c:strRef>
              <c:f>Sheet1!$W$14:$W$15</c:f>
              <c:strCache>
                <c:ptCount val="2"/>
                <c:pt idx="0">
                  <c:v>error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Sheet1!$W$17:$W$25</c:f>
              <c:numCache>
                <c:formatCode>General</c:formatCode>
                <c:ptCount val="9"/>
                <c:pt idx="0">
                  <c:v>0.73380000000000001</c:v>
                </c:pt>
                <c:pt idx="1">
                  <c:v>0.74519999999999997</c:v>
                </c:pt>
                <c:pt idx="2">
                  <c:v>0.75970000000000004</c:v>
                </c:pt>
                <c:pt idx="3">
                  <c:v>0.74819999999999998</c:v>
                </c:pt>
                <c:pt idx="4">
                  <c:v>0.75170000000000003</c:v>
                </c:pt>
                <c:pt idx="5">
                  <c:v>0.74809999999999999</c:v>
                </c:pt>
                <c:pt idx="6">
                  <c:v>0.74960000000000004</c:v>
                </c:pt>
                <c:pt idx="7">
                  <c:v>0.74590000000000001</c:v>
                </c:pt>
                <c:pt idx="8">
                  <c:v>0.74880000000000002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B5-4539-906F-0ECB4BFD7DE4}"/>
            </c:ext>
          </c:extLst>
        </c:ser>
        <c:ser>
          <c:idx val="22"/>
          <c:order val="22"/>
          <c:tx>
            <c:strRef>
              <c:f>Sheet1!$X$14:$X$15</c:f>
              <c:strCache>
                <c:ptCount val="2"/>
                <c:pt idx="0">
                  <c:v>error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Sheet1!$X$17:$X$25</c:f>
              <c:numCache>
                <c:formatCode>General</c:formatCode>
                <c:ptCount val="9"/>
                <c:pt idx="0">
                  <c:v>0.73240000000000005</c:v>
                </c:pt>
                <c:pt idx="1">
                  <c:v>0.73450000000000004</c:v>
                </c:pt>
                <c:pt idx="2">
                  <c:v>0.74250000000000005</c:v>
                </c:pt>
                <c:pt idx="3">
                  <c:v>0.74250000000000005</c:v>
                </c:pt>
                <c:pt idx="4">
                  <c:v>0.74250000000000005</c:v>
                </c:pt>
                <c:pt idx="5">
                  <c:v>0.74029999999999996</c:v>
                </c:pt>
                <c:pt idx="6">
                  <c:v>0.74750000000000005</c:v>
                </c:pt>
                <c:pt idx="7">
                  <c:v>0.74890000000000001</c:v>
                </c:pt>
                <c:pt idx="8">
                  <c:v>0.749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7B5-4539-906F-0ECB4BFD7DE4}"/>
            </c:ext>
          </c:extLst>
        </c:ser>
        <c:ser>
          <c:idx val="23"/>
          <c:order val="23"/>
          <c:tx>
            <c:strRef>
              <c:f>Sheet1!$Y$14:$Y$15</c:f>
              <c:strCache>
                <c:ptCount val="2"/>
                <c:pt idx="0">
                  <c:v>error</c:v>
                </c:pt>
                <c:pt idx="1">
                  <c:v>gblinear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Sheet1!$A$17:$A$25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cat>
          <c:val>
            <c:numRef>
              <c:f>Sheet1!$Y$17:$Y$25</c:f>
              <c:numCache>
                <c:formatCode>General</c:formatCode>
                <c:ptCount val="9"/>
                <c:pt idx="0">
                  <c:v>0.7288</c:v>
                </c:pt>
                <c:pt idx="1">
                  <c:v>0.72299999999999998</c:v>
                </c:pt>
                <c:pt idx="2">
                  <c:v>0.72299999999999998</c:v>
                </c:pt>
                <c:pt idx="3">
                  <c:v>0.72309999999999997</c:v>
                </c:pt>
                <c:pt idx="4">
                  <c:v>0.72089999999999999</c:v>
                </c:pt>
                <c:pt idx="5">
                  <c:v>0.71519999999999995</c:v>
                </c:pt>
                <c:pt idx="6">
                  <c:v>0.71589999999999998</c:v>
                </c:pt>
                <c:pt idx="7">
                  <c:v>0.71730000000000005</c:v>
                </c:pt>
                <c:pt idx="8">
                  <c:v>0.71440000000000003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B5-4539-906F-0ECB4BFD7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761184"/>
        <c:axId val="582764064"/>
      </c:lineChart>
      <c:catAx>
        <c:axId val="5827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64064"/>
        <c:crosses val="autoZero"/>
        <c:auto val="1"/>
        <c:lblAlgn val="ctr"/>
        <c:lblOffset val="100"/>
        <c:noMultiLvlLbl val="0"/>
      </c:catAx>
      <c:valAx>
        <c:axId val="5827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F1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Sheet2!$B$17:$B$25</c:f>
              <c:numCache>
                <c:formatCode>General</c:formatCode>
                <c:ptCount val="9"/>
                <c:pt idx="0">
                  <c:v>0.71285475792988318</c:v>
                </c:pt>
                <c:pt idx="1">
                  <c:v>0.70864819479429053</c:v>
                </c:pt>
                <c:pt idx="2">
                  <c:v>0.7160699417152373</c:v>
                </c:pt>
                <c:pt idx="3">
                  <c:v>0.71416871416871419</c:v>
                </c:pt>
                <c:pt idx="4">
                  <c:v>0.71744471744471749</c:v>
                </c:pt>
                <c:pt idx="5">
                  <c:v>0.72410936205468102</c:v>
                </c:pt>
                <c:pt idx="6">
                  <c:v>0.72033195020746887</c:v>
                </c:pt>
                <c:pt idx="7">
                  <c:v>0.72152950955943473</c:v>
                </c:pt>
                <c:pt idx="8">
                  <c:v>0.72622001654259716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E-42D7-9875-9E8B82ADC8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Sheet2!$C$17:$C$25</c:f>
              <c:numCache>
                <c:formatCode>General</c:formatCode>
                <c:ptCount val="9"/>
                <c:pt idx="0">
                  <c:v>0.70723684210526316</c:v>
                </c:pt>
                <c:pt idx="1">
                  <c:v>0.71862182116488926</c:v>
                </c:pt>
                <c:pt idx="2">
                  <c:v>0.7336601307189542</c:v>
                </c:pt>
                <c:pt idx="3">
                  <c:v>0.73127035830618892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0.73658536585365852</c:v>
                </c:pt>
                <c:pt idx="7">
                  <c:v>0.73632653061224485</c:v>
                </c:pt>
                <c:pt idx="8">
                  <c:v>0.73941368078175895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E-42D7-9875-9E8B82ADC80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Sheet2!$D$17:$D$25</c:f>
              <c:numCache>
                <c:formatCode>General</c:formatCode>
                <c:ptCount val="9"/>
                <c:pt idx="0">
                  <c:v>0.734136546184739</c:v>
                </c:pt>
                <c:pt idx="1">
                  <c:v>0.73717948717948723</c:v>
                </c:pt>
                <c:pt idx="2">
                  <c:v>0.73885350318471332</c:v>
                </c:pt>
                <c:pt idx="3">
                  <c:v>0.73178542834267413</c:v>
                </c:pt>
                <c:pt idx="4">
                  <c:v>0.73178542834267413</c:v>
                </c:pt>
                <c:pt idx="5">
                  <c:v>0.72596153846153844</c:v>
                </c:pt>
                <c:pt idx="6">
                  <c:v>0.72435897435897434</c:v>
                </c:pt>
                <c:pt idx="7">
                  <c:v>0.71794871794871795</c:v>
                </c:pt>
                <c:pt idx="8">
                  <c:v>0.71221864951768488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E-42D7-9875-9E8B82ADC80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Sheet2!$E$17:$E$25</c:f>
              <c:numCache>
                <c:formatCode>General</c:formatCode>
                <c:ptCount val="9"/>
                <c:pt idx="0">
                  <c:v>0.71707317073170729</c:v>
                </c:pt>
                <c:pt idx="1">
                  <c:v>0.72064777327935226</c:v>
                </c:pt>
                <c:pt idx="2">
                  <c:v>0.73616680032076987</c:v>
                </c:pt>
                <c:pt idx="3">
                  <c:v>0.73333333333333328</c:v>
                </c:pt>
                <c:pt idx="4">
                  <c:v>0.73257698541329008</c:v>
                </c:pt>
                <c:pt idx="5">
                  <c:v>0.73127035830618892</c:v>
                </c:pt>
                <c:pt idx="6">
                  <c:v>0.73333333333333328</c:v>
                </c:pt>
                <c:pt idx="7">
                  <c:v>0.73039215686274506</c:v>
                </c:pt>
                <c:pt idx="8">
                  <c:v>0.73916598528209321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0E-42D7-9875-9E8B82ADC80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Sheet2!$F$17:$F$25</c:f>
              <c:numCache>
                <c:formatCode>General</c:formatCode>
                <c:ptCount val="9"/>
                <c:pt idx="0">
                  <c:v>0.69300411522633742</c:v>
                </c:pt>
                <c:pt idx="1">
                  <c:v>0.70123456790123462</c:v>
                </c:pt>
                <c:pt idx="2">
                  <c:v>0.70336894001643391</c:v>
                </c:pt>
                <c:pt idx="3">
                  <c:v>0.70713699753896642</c:v>
                </c:pt>
                <c:pt idx="4">
                  <c:v>0.71219512195121948</c:v>
                </c:pt>
                <c:pt idx="5">
                  <c:v>0.71370640713706412</c:v>
                </c:pt>
                <c:pt idx="6">
                  <c:v>0.7083671811535337</c:v>
                </c:pt>
                <c:pt idx="7">
                  <c:v>0.71324126726238835</c:v>
                </c:pt>
                <c:pt idx="8">
                  <c:v>0.70857142857142852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0E-42D7-9875-9E8B82ADC80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Sheet2!$G$17:$G$25</c:f>
              <c:numCache>
                <c:formatCode>General</c:formatCode>
                <c:ptCount val="9"/>
                <c:pt idx="0">
                  <c:v>0.73311897106109325</c:v>
                </c:pt>
                <c:pt idx="1">
                  <c:v>0.73819055244195353</c:v>
                </c:pt>
                <c:pt idx="2">
                  <c:v>0.73944223107569695</c:v>
                </c:pt>
                <c:pt idx="3">
                  <c:v>0.73119999999999996</c:v>
                </c:pt>
                <c:pt idx="4">
                  <c:v>0.73338670936749395</c:v>
                </c:pt>
                <c:pt idx="5">
                  <c:v>0.72596153846153844</c:v>
                </c:pt>
                <c:pt idx="6">
                  <c:v>0.72262190247801761</c:v>
                </c:pt>
                <c:pt idx="7">
                  <c:v>0.71794871794871795</c:v>
                </c:pt>
                <c:pt idx="8">
                  <c:v>0.7132530120481928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0E-42D7-9875-9E8B82ADC80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Sheet2!$H$17:$H$25</c:f>
              <c:numCache>
                <c:formatCode>General</c:formatCode>
                <c:ptCount val="9"/>
                <c:pt idx="0">
                  <c:v>0.68366533864541834</c:v>
                </c:pt>
                <c:pt idx="1">
                  <c:v>0.68562144597887897</c:v>
                </c:pt>
                <c:pt idx="2">
                  <c:v>0.67796610169491522</c:v>
                </c:pt>
                <c:pt idx="3">
                  <c:v>0.6919354838709677</c:v>
                </c:pt>
                <c:pt idx="4">
                  <c:v>0.6961414790996785</c:v>
                </c:pt>
                <c:pt idx="5">
                  <c:v>0.70597738287560585</c:v>
                </c:pt>
                <c:pt idx="6">
                  <c:v>0.70163934426229513</c:v>
                </c:pt>
                <c:pt idx="7">
                  <c:v>0.7007299270072993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0E-42D7-9875-9E8B82ADC80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Sheet2!$I$17:$I$25</c:f>
              <c:numCache>
                <c:formatCode>General</c:formatCode>
                <c:ptCount val="9"/>
                <c:pt idx="0">
                  <c:v>0.68288726682887269</c:v>
                </c:pt>
                <c:pt idx="1">
                  <c:v>0.68704746580852771</c:v>
                </c:pt>
                <c:pt idx="2">
                  <c:v>0.70096463022508038</c:v>
                </c:pt>
                <c:pt idx="3">
                  <c:v>0.69495596477181742</c:v>
                </c:pt>
                <c:pt idx="4">
                  <c:v>0.70015948963317387</c:v>
                </c:pt>
                <c:pt idx="5">
                  <c:v>0.70261697065820772</c:v>
                </c:pt>
                <c:pt idx="6">
                  <c:v>0.70261697065820772</c:v>
                </c:pt>
                <c:pt idx="7">
                  <c:v>0.70839936608557841</c:v>
                </c:pt>
                <c:pt idx="8">
                  <c:v>0.70634920634920639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0E-42D7-9875-9E8B82ADC80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Sheet2!$J$17:$J$25</c:f>
              <c:numCache>
                <c:formatCode>General</c:formatCode>
                <c:ptCount val="9"/>
                <c:pt idx="0">
                  <c:v>0.73472668810289388</c:v>
                </c:pt>
                <c:pt idx="1">
                  <c:v>0.73717948717948723</c:v>
                </c:pt>
                <c:pt idx="2">
                  <c:v>0.73885350318471332</c:v>
                </c:pt>
                <c:pt idx="3">
                  <c:v>0.73061550759392491</c:v>
                </c:pt>
                <c:pt idx="4">
                  <c:v>0.73221422861710628</c:v>
                </c:pt>
                <c:pt idx="5">
                  <c:v>0.72654370489174014</c:v>
                </c:pt>
                <c:pt idx="6">
                  <c:v>0.72160000000000002</c:v>
                </c:pt>
                <c:pt idx="7">
                  <c:v>0.71737389911929539</c:v>
                </c:pt>
                <c:pt idx="8">
                  <c:v>0.7132530120481928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0E-42D7-9875-9E8B82ADC80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Sheet2!$K$17:$K$25</c:f>
              <c:numCache>
                <c:formatCode>General</c:formatCode>
                <c:ptCount val="9"/>
                <c:pt idx="0">
                  <c:v>0.71285475792988318</c:v>
                </c:pt>
                <c:pt idx="1">
                  <c:v>0.70864819479429053</c:v>
                </c:pt>
                <c:pt idx="2">
                  <c:v>0.7160699417152373</c:v>
                </c:pt>
                <c:pt idx="3">
                  <c:v>0.71416871416871419</c:v>
                </c:pt>
                <c:pt idx="4">
                  <c:v>0.71744471744471749</c:v>
                </c:pt>
                <c:pt idx="5">
                  <c:v>0.72410936205468102</c:v>
                </c:pt>
                <c:pt idx="6">
                  <c:v>0.72033195020746887</c:v>
                </c:pt>
                <c:pt idx="7">
                  <c:v>0.72152950955943473</c:v>
                </c:pt>
                <c:pt idx="8">
                  <c:v>0.72622001654259716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20E-42D7-9875-9E8B82ADC801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Sheet2!$L$17:$L$25</c:f>
              <c:numCache>
                <c:formatCode>General</c:formatCode>
                <c:ptCount val="9"/>
                <c:pt idx="0">
                  <c:v>0.70723684210526316</c:v>
                </c:pt>
                <c:pt idx="1">
                  <c:v>0.71862182116488926</c:v>
                </c:pt>
                <c:pt idx="2">
                  <c:v>0.7336601307189542</c:v>
                </c:pt>
                <c:pt idx="3">
                  <c:v>0.73127035830618892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0.73658536585365852</c:v>
                </c:pt>
                <c:pt idx="7">
                  <c:v>0.73632653061224485</c:v>
                </c:pt>
                <c:pt idx="8">
                  <c:v>0.73941368078175895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0E-42D7-9875-9E8B82ADC801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Sheet2!$M$17:$M$25</c:f>
              <c:numCache>
                <c:formatCode>General</c:formatCode>
                <c:ptCount val="9"/>
                <c:pt idx="0">
                  <c:v>0.734136546184739</c:v>
                </c:pt>
                <c:pt idx="1">
                  <c:v>0.73878205128205132</c:v>
                </c:pt>
                <c:pt idx="2">
                  <c:v>0.74003189792663504</c:v>
                </c:pt>
                <c:pt idx="3">
                  <c:v>0.73119999999999996</c:v>
                </c:pt>
                <c:pt idx="4">
                  <c:v>0.73280000000000001</c:v>
                </c:pt>
                <c:pt idx="5">
                  <c:v>0.72698158526821455</c:v>
                </c:pt>
                <c:pt idx="6">
                  <c:v>0.72319999999999995</c:v>
                </c:pt>
                <c:pt idx="7">
                  <c:v>0.71794871794871795</c:v>
                </c:pt>
                <c:pt idx="8">
                  <c:v>0.7138263665594855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20E-42D7-9875-9E8B82ADC801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Sheet2!$N$17:$N$25</c:f>
              <c:numCache>
                <c:formatCode>General</c:formatCode>
                <c:ptCount val="9"/>
                <c:pt idx="0">
                  <c:v>0.71707317073170729</c:v>
                </c:pt>
                <c:pt idx="1">
                  <c:v>0.72064777327935226</c:v>
                </c:pt>
                <c:pt idx="2">
                  <c:v>0.73616680032076987</c:v>
                </c:pt>
                <c:pt idx="3">
                  <c:v>0.73333333333333328</c:v>
                </c:pt>
                <c:pt idx="4">
                  <c:v>0.73257698541329008</c:v>
                </c:pt>
                <c:pt idx="5">
                  <c:v>0.73127035830618892</c:v>
                </c:pt>
                <c:pt idx="6">
                  <c:v>0.73333333333333328</c:v>
                </c:pt>
                <c:pt idx="7">
                  <c:v>0.73039215686274506</c:v>
                </c:pt>
                <c:pt idx="8">
                  <c:v>0.73916598528209321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0E-42D7-9875-9E8B82ADC801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Sheet2!$O$17:$O$25</c:f>
              <c:numCache>
                <c:formatCode>General</c:formatCode>
                <c:ptCount val="9"/>
                <c:pt idx="0">
                  <c:v>0.69300411522633742</c:v>
                </c:pt>
                <c:pt idx="1">
                  <c:v>0.70123456790123462</c:v>
                </c:pt>
                <c:pt idx="2">
                  <c:v>0.70336894001643391</c:v>
                </c:pt>
                <c:pt idx="3">
                  <c:v>0.70713699753896642</c:v>
                </c:pt>
                <c:pt idx="4">
                  <c:v>0.71219512195121948</c:v>
                </c:pt>
                <c:pt idx="5">
                  <c:v>0.71370640713706412</c:v>
                </c:pt>
                <c:pt idx="6">
                  <c:v>0.7083671811535337</c:v>
                </c:pt>
                <c:pt idx="7">
                  <c:v>0.71324126726238835</c:v>
                </c:pt>
                <c:pt idx="8">
                  <c:v>0.70857142857142852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20E-42D7-9875-9E8B82ADC801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Sheet2!$P$17:$P$25</c:f>
              <c:numCache>
                <c:formatCode>General</c:formatCode>
                <c:ptCount val="9"/>
                <c:pt idx="0">
                  <c:v>0.73472668810289388</c:v>
                </c:pt>
                <c:pt idx="1">
                  <c:v>0.73878205128205132</c:v>
                </c:pt>
                <c:pt idx="2">
                  <c:v>0.73944223107569718</c:v>
                </c:pt>
                <c:pt idx="3">
                  <c:v>0.73162939297124596</c:v>
                </c:pt>
                <c:pt idx="4">
                  <c:v>0.73280000000000001</c:v>
                </c:pt>
                <c:pt idx="5">
                  <c:v>0.72538030424339472</c:v>
                </c:pt>
                <c:pt idx="6">
                  <c:v>0.72262190247801761</c:v>
                </c:pt>
                <c:pt idx="7">
                  <c:v>0.71794871794871795</c:v>
                </c:pt>
                <c:pt idx="8">
                  <c:v>0.71531676022453894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0E-42D7-9875-9E8B82ADC801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Sheet2!$Q$17:$Q$25</c:f>
              <c:numCache>
                <c:formatCode>General</c:formatCode>
                <c:ptCount val="9"/>
                <c:pt idx="0">
                  <c:v>0.68366533864541834</c:v>
                </c:pt>
                <c:pt idx="1">
                  <c:v>0.68562144597887897</c:v>
                </c:pt>
                <c:pt idx="2">
                  <c:v>0.67796610169491522</c:v>
                </c:pt>
                <c:pt idx="3">
                  <c:v>0.6919354838709677</c:v>
                </c:pt>
                <c:pt idx="4">
                  <c:v>0.6961414790996785</c:v>
                </c:pt>
                <c:pt idx="5">
                  <c:v>0.70597738287560585</c:v>
                </c:pt>
                <c:pt idx="6">
                  <c:v>0.70163934426229513</c:v>
                </c:pt>
                <c:pt idx="7">
                  <c:v>0.7007299270072993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20E-42D7-9875-9E8B82ADC801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Sheet2!$R$17:$R$25</c:f>
              <c:numCache>
                <c:formatCode>General</c:formatCode>
                <c:ptCount val="9"/>
                <c:pt idx="0">
                  <c:v>0.68288726682887269</c:v>
                </c:pt>
                <c:pt idx="1">
                  <c:v>0.68704746580852771</c:v>
                </c:pt>
                <c:pt idx="2">
                  <c:v>0.70096463022508038</c:v>
                </c:pt>
                <c:pt idx="3">
                  <c:v>0.69495596477181742</c:v>
                </c:pt>
                <c:pt idx="4">
                  <c:v>0.70015948963317387</c:v>
                </c:pt>
                <c:pt idx="5">
                  <c:v>0.70261697065820772</c:v>
                </c:pt>
                <c:pt idx="6">
                  <c:v>0.70261697065820772</c:v>
                </c:pt>
                <c:pt idx="7">
                  <c:v>0.70839936608557841</c:v>
                </c:pt>
                <c:pt idx="8">
                  <c:v>0.70634920634920639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20E-42D7-9875-9E8B82ADC801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Sheet2!$S$17:$S$25</c:f>
              <c:numCache>
                <c:formatCode>General</c:formatCode>
                <c:ptCount val="9"/>
                <c:pt idx="0">
                  <c:v>0.734136546184739</c:v>
                </c:pt>
                <c:pt idx="1">
                  <c:v>0.73819055244195353</c:v>
                </c:pt>
                <c:pt idx="2">
                  <c:v>0.73885350318471332</c:v>
                </c:pt>
                <c:pt idx="3">
                  <c:v>0.73280000000000001</c:v>
                </c:pt>
                <c:pt idx="4">
                  <c:v>0.73280000000000001</c:v>
                </c:pt>
                <c:pt idx="5">
                  <c:v>0.72596153846153844</c:v>
                </c:pt>
                <c:pt idx="6">
                  <c:v>0.72275641025641024</c:v>
                </c:pt>
                <c:pt idx="7">
                  <c:v>0.71634615384615385</c:v>
                </c:pt>
                <c:pt idx="8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20E-42D7-9875-9E8B82ADC801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Sheet2!$T$17:$T$25</c:f>
              <c:numCache>
                <c:formatCode>General</c:formatCode>
                <c:ptCount val="9"/>
                <c:pt idx="0">
                  <c:v>0.71285475792988318</c:v>
                </c:pt>
                <c:pt idx="1">
                  <c:v>0.70864819479429053</c:v>
                </c:pt>
                <c:pt idx="2">
                  <c:v>0.7160699417152373</c:v>
                </c:pt>
                <c:pt idx="3">
                  <c:v>0.71416871416871419</c:v>
                </c:pt>
                <c:pt idx="4">
                  <c:v>0.71744471744471749</c:v>
                </c:pt>
                <c:pt idx="5">
                  <c:v>0.72410936205468102</c:v>
                </c:pt>
                <c:pt idx="6">
                  <c:v>0.72033195020746887</c:v>
                </c:pt>
                <c:pt idx="7">
                  <c:v>0.72152950955943473</c:v>
                </c:pt>
                <c:pt idx="8">
                  <c:v>0.72622001654259716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20E-42D7-9875-9E8B82ADC801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Sheet2!$U$17:$U$25</c:f>
              <c:numCache>
                <c:formatCode>General</c:formatCode>
                <c:ptCount val="9"/>
                <c:pt idx="0">
                  <c:v>0.70723684210526305</c:v>
                </c:pt>
                <c:pt idx="1">
                  <c:v>0.71862182116488926</c:v>
                </c:pt>
                <c:pt idx="2">
                  <c:v>0.7336601307189542</c:v>
                </c:pt>
                <c:pt idx="3">
                  <c:v>0.73127035830618892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0.73658536585365852</c:v>
                </c:pt>
                <c:pt idx="7">
                  <c:v>0.73632653061224485</c:v>
                </c:pt>
                <c:pt idx="8">
                  <c:v>0.73941368078175895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20E-42D7-9875-9E8B82ADC801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Sheet2!$V$17:$V$25</c:f>
              <c:numCache>
                <c:formatCode>General</c:formatCode>
                <c:ptCount val="9"/>
                <c:pt idx="0">
                  <c:v>0.73472668810289399</c:v>
                </c:pt>
                <c:pt idx="1">
                  <c:v>0.73819055244195353</c:v>
                </c:pt>
                <c:pt idx="2">
                  <c:v>0.73843700159489634</c:v>
                </c:pt>
                <c:pt idx="3">
                  <c:v>0.73119999999999996</c:v>
                </c:pt>
                <c:pt idx="4">
                  <c:v>0.73280000000000001</c:v>
                </c:pt>
                <c:pt idx="5">
                  <c:v>0.72538030424339472</c:v>
                </c:pt>
                <c:pt idx="6">
                  <c:v>0.7237790232185749</c:v>
                </c:pt>
                <c:pt idx="7">
                  <c:v>0.71794871794871795</c:v>
                </c:pt>
                <c:pt idx="8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20E-42D7-9875-9E8B82ADC801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Sheet2!$W$17:$W$25</c:f>
              <c:numCache>
                <c:formatCode>General</c:formatCode>
                <c:ptCount val="9"/>
                <c:pt idx="0">
                  <c:v>0.71707317073170729</c:v>
                </c:pt>
                <c:pt idx="1">
                  <c:v>0.72064777327935226</c:v>
                </c:pt>
                <c:pt idx="2">
                  <c:v>0.73616680032076987</c:v>
                </c:pt>
                <c:pt idx="3">
                  <c:v>0.73333333333333328</c:v>
                </c:pt>
                <c:pt idx="4">
                  <c:v>0.73257698541329008</c:v>
                </c:pt>
                <c:pt idx="5">
                  <c:v>0.73127035830618892</c:v>
                </c:pt>
                <c:pt idx="6">
                  <c:v>0.73333333333333328</c:v>
                </c:pt>
                <c:pt idx="7">
                  <c:v>0.73039215686274506</c:v>
                </c:pt>
                <c:pt idx="8">
                  <c:v>0.73916598528209321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20E-42D7-9875-9E8B82ADC801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Sheet2!$X$17:$X$25</c:f>
              <c:numCache>
                <c:formatCode>General</c:formatCode>
                <c:ptCount val="9"/>
                <c:pt idx="0">
                  <c:v>0.69300411522633742</c:v>
                </c:pt>
                <c:pt idx="1">
                  <c:v>0.70123456790123462</c:v>
                </c:pt>
                <c:pt idx="2">
                  <c:v>0.70336894001643391</c:v>
                </c:pt>
                <c:pt idx="3">
                  <c:v>0.70713699753896642</c:v>
                </c:pt>
                <c:pt idx="4">
                  <c:v>0.71219512195121948</c:v>
                </c:pt>
                <c:pt idx="5">
                  <c:v>0.71370640713706412</c:v>
                </c:pt>
                <c:pt idx="6">
                  <c:v>0.7083671811535337</c:v>
                </c:pt>
                <c:pt idx="7">
                  <c:v>0.71324126726238835</c:v>
                </c:pt>
                <c:pt idx="8">
                  <c:v>0.70857142857142852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20E-42D7-9875-9E8B82ADC801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Sheet2!$Y$17:$Y$25</c:f>
              <c:numCache>
                <c:formatCode>General</c:formatCode>
                <c:ptCount val="9"/>
                <c:pt idx="0">
                  <c:v>0.73472668810289388</c:v>
                </c:pt>
                <c:pt idx="1">
                  <c:v>0.73819055244195353</c:v>
                </c:pt>
                <c:pt idx="2">
                  <c:v>0.73885350318471332</c:v>
                </c:pt>
                <c:pt idx="3">
                  <c:v>0.73221422861710628</c:v>
                </c:pt>
                <c:pt idx="4">
                  <c:v>0.73178542834267413</c:v>
                </c:pt>
                <c:pt idx="5">
                  <c:v>0.72596153846153844</c:v>
                </c:pt>
                <c:pt idx="6">
                  <c:v>0.72319999999999995</c:v>
                </c:pt>
                <c:pt idx="7">
                  <c:v>0.71852445870088211</c:v>
                </c:pt>
                <c:pt idx="8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20E-42D7-9875-9E8B82ADC801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Sheet2!$Z$17:$Z$25</c:f>
              <c:numCache>
                <c:formatCode>General</c:formatCode>
                <c:ptCount val="9"/>
                <c:pt idx="0">
                  <c:v>0.68366533864541834</c:v>
                </c:pt>
                <c:pt idx="1">
                  <c:v>0.68562144597887897</c:v>
                </c:pt>
                <c:pt idx="2">
                  <c:v>0.67796610169491522</c:v>
                </c:pt>
                <c:pt idx="3">
                  <c:v>0.6919354838709677</c:v>
                </c:pt>
                <c:pt idx="4">
                  <c:v>0.6961414790996785</c:v>
                </c:pt>
                <c:pt idx="5">
                  <c:v>0.70597738287560585</c:v>
                </c:pt>
                <c:pt idx="6">
                  <c:v>0.70163934426229513</c:v>
                </c:pt>
                <c:pt idx="7">
                  <c:v>0.7007299270072993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20E-42D7-9875-9E8B82ADC801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Sheet2!$AA$17:$AA$25</c:f>
              <c:numCache>
                <c:formatCode>General</c:formatCode>
                <c:ptCount val="9"/>
                <c:pt idx="0">
                  <c:v>0.68288726682887269</c:v>
                </c:pt>
                <c:pt idx="1">
                  <c:v>0.68704746580852771</c:v>
                </c:pt>
                <c:pt idx="2">
                  <c:v>0.70096463022508038</c:v>
                </c:pt>
                <c:pt idx="3">
                  <c:v>0.69495596477181742</c:v>
                </c:pt>
                <c:pt idx="4">
                  <c:v>0.70015948963317387</c:v>
                </c:pt>
                <c:pt idx="5">
                  <c:v>0.70261697065820772</c:v>
                </c:pt>
                <c:pt idx="6">
                  <c:v>0.70261697065820772</c:v>
                </c:pt>
                <c:pt idx="7">
                  <c:v>0.70839936608557841</c:v>
                </c:pt>
                <c:pt idx="8">
                  <c:v>0.70634920634920639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20E-42D7-9875-9E8B82ADC801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Sheet2!$AB$17:$AB$25</c:f>
              <c:numCache>
                <c:formatCode>General</c:formatCode>
                <c:ptCount val="9"/>
                <c:pt idx="0">
                  <c:v>0.73574297188755022</c:v>
                </c:pt>
                <c:pt idx="1">
                  <c:v>0.73819055244195353</c:v>
                </c:pt>
                <c:pt idx="2">
                  <c:v>0.73944223107569718</c:v>
                </c:pt>
                <c:pt idx="3">
                  <c:v>0.73119999999999996</c:v>
                </c:pt>
                <c:pt idx="4">
                  <c:v>0.73178542834267413</c:v>
                </c:pt>
                <c:pt idx="5">
                  <c:v>0.72538030424339472</c:v>
                </c:pt>
                <c:pt idx="6">
                  <c:v>0.72333600641539697</c:v>
                </c:pt>
                <c:pt idx="7">
                  <c:v>0.71794871794871795</c:v>
                </c:pt>
                <c:pt idx="8">
                  <c:v>0.71371291098636724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20E-42D7-9875-9E8B82ADC801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Sheet2!$AC$17:$AC$25</c:f>
              <c:numCache>
                <c:formatCode>General</c:formatCode>
                <c:ptCount val="9"/>
                <c:pt idx="0">
                  <c:v>0.71285475792988318</c:v>
                </c:pt>
                <c:pt idx="1">
                  <c:v>0.70864819479429053</c:v>
                </c:pt>
                <c:pt idx="2">
                  <c:v>0.7160699417152373</c:v>
                </c:pt>
                <c:pt idx="3">
                  <c:v>0.71416871416871419</c:v>
                </c:pt>
                <c:pt idx="4">
                  <c:v>0.71744471744471749</c:v>
                </c:pt>
                <c:pt idx="5">
                  <c:v>0.72410936205468102</c:v>
                </c:pt>
                <c:pt idx="6">
                  <c:v>0.72033195020746887</c:v>
                </c:pt>
                <c:pt idx="7">
                  <c:v>0.72152950955943473</c:v>
                </c:pt>
                <c:pt idx="8">
                  <c:v>0.72622001654259716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20E-42D7-9875-9E8B82ADC801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Sheet2!$AD$17:$AD$25</c:f>
              <c:numCache>
                <c:formatCode>General</c:formatCode>
                <c:ptCount val="9"/>
                <c:pt idx="0">
                  <c:v>0.70723684210526305</c:v>
                </c:pt>
                <c:pt idx="1">
                  <c:v>0.71862182116488926</c:v>
                </c:pt>
                <c:pt idx="2">
                  <c:v>0.7336601307189542</c:v>
                </c:pt>
                <c:pt idx="3">
                  <c:v>0.73127035830618892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0.73658536585365852</c:v>
                </c:pt>
                <c:pt idx="7">
                  <c:v>0.73632653061224485</c:v>
                </c:pt>
                <c:pt idx="8">
                  <c:v>0.73941368078175895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20E-42D7-9875-9E8B82ADC801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Sheet2!$AE$17:$AE$25</c:f>
              <c:numCache>
                <c:formatCode>General</c:formatCode>
                <c:ptCount val="9"/>
                <c:pt idx="0">
                  <c:v>0.73311897106109325</c:v>
                </c:pt>
                <c:pt idx="1">
                  <c:v>0.73878205128205132</c:v>
                </c:pt>
                <c:pt idx="2">
                  <c:v>0.73583399840383079</c:v>
                </c:pt>
                <c:pt idx="3">
                  <c:v>0.73178542834267413</c:v>
                </c:pt>
                <c:pt idx="4">
                  <c:v>0.73076923076923073</c:v>
                </c:pt>
                <c:pt idx="5">
                  <c:v>0.72508038585209</c:v>
                </c:pt>
                <c:pt idx="6">
                  <c:v>0.7207062600321027</c:v>
                </c:pt>
                <c:pt idx="7">
                  <c:v>0.71531676022453894</c:v>
                </c:pt>
                <c:pt idx="8">
                  <c:v>0.71531676022453894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20E-42D7-9875-9E8B82ADC801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Sheet2!$AF$17:$AF$25</c:f>
              <c:numCache>
                <c:formatCode>General</c:formatCode>
                <c:ptCount val="9"/>
                <c:pt idx="0">
                  <c:v>0.71707317073170729</c:v>
                </c:pt>
                <c:pt idx="1">
                  <c:v>0.72064777327935226</c:v>
                </c:pt>
                <c:pt idx="2">
                  <c:v>0.73616680032076987</c:v>
                </c:pt>
                <c:pt idx="3">
                  <c:v>0.73333333333333328</c:v>
                </c:pt>
                <c:pt idx="4">
                  <c:v>0.73257698541329008</c:v>
                </c:pt>
                <c:pt idx="5">
                  <c:v>0.73127035830618892</c:v>
                </c:pt>
                <c:pt idx="6">
                  <c:v>0.73333333333333328</c:v>
                </c:pt>
                <c:pt idx="7">
                  <c:v>0.73039215686274506</c:v>
                </c:pt>
                <c:pt idx="8">
                  <c:v>0.73916598528209321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20E-42D7-9875-9E8B82ADC801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Sheet2!$AG$17:$AG$25</c:f>
              <c:numCache>
                <c:formatCode>General</c:formatCode>
                <c:ptCount val="9"/>
                <c:pt idx="0">
                  <c:v>0.69300411522633742</c:v>
                </c:pt>
                <c:pt idx="1">
                  <c:v>0.70123456790123462</c:v>
                </c:pt>
                <c:pt idx="2">
                  <c:v>0.70336894001643391</c:v>
                </c:pt>
                <c:pt idx="3">
                  <c:v>0.70713699753896642</c:v>
                </c:pt>
                <c:pt idx="4">
                  <c:v>0.71219512195121948</c:v>
                </c:pt>
                <c:pt idx="5">
                  <c:v>0.71370640713706412</c:v>
                </c:pt>
                <c:pt idx="6">
                  <c:v>0.7083671811535337</c:v>
                </c:pt>
                <c:pt idx="7">
                  <c:v>0.71324126726238835</c:v>
                </c:pt>
                <c:pt idx="8">
                  <c:v>0.70857142857142852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20E-42D7-9875-9E8B82ADC801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Sheet2!$AH$17:$AH$25</c:f>
              <c:numCache>
                <c:formatCode>General</c:formatCode>
                <c:ptCount val="9"/>
                <c:pt idx="0">
                  <c:v>0.7351524879614767</c:v>
                </c:pt>
                <c:pt idx="1">
                  <c:v>0.73777064955894145</c:v>
                </c:pt>
                <c:pt idx="2">
                  <c:v>0.73482428115015974</c:v>
                </c:pt>
                <c:pt idx="3">
                  <c:v>0.73076923076923073</c:v>
                </c:pt>
                <c:pt idx="4">
                  <c:v>0.72916666666666663</c:v>
                </c:pt>
                <c:pt idx="5">
                  <c:v>0.72508038585209</c:v>
                </c:pt>
                <c:pt idx="6">
                  <c:v>0.72173215717722539</c:v>
                </c:pt>
                <c:pt idx="7">
                  <c:v>0.71634615384615385</c:v>
                </c:pt>
                <c:pt idx="8">
                  <c:v>0.71531676022453894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20E-42D7-9875-9E8B82ADC801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Sheet2!$AI$17:$AI$25</c:f>
              <c:numCache>
                <c:formatCode>General</c:formatCode>
                <c:ptCount val="9"/>
                <c:pt idx="0">
                  <c:v>0.68366533864541834</c:v>
                </c:pt>
                <c:pt idx="1">
                  <c:v>0.68562144597887897</c:v>
                </c:pt>
                <c:pt idx="2">
                  <c:v>0.67796610169491522</c:v>
                </c:pt>
                <c:pt idx="3">
                  <c:v>0.6919354838709677</c:v>
                </c:pt>
                <c:pt idx="4">
                  <c:v>0.6961414790996785</c:v>
                </c:pt>
                <c:pt idx="5">
                  <c:v>0.70597738287560585</c:v>
                </c:pt>
                <c:pt idx="6">
                  <c:v>0.70163934426229513</c:v>
                </c:pt>
                <c:pt idx="7">
                  <c:v>0.7007299270072993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20E-42D7-9875-9E8B82ADC801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Sheet2!$AJ$17:$AJ$25</c:f>
              <c:numCache>
                <c:formatCode>General</c:formatCode>
                <c:ptCount val="9"/>
                <c:pt idx="0">
                  <c:v>0.68288726682887269</c:v>
                </c:pt>
                <c:pt idx="1">
                  <c:v>0.68704746580852771</c:v>
                </c:pt>
                <c:pt idx="2">
                  <c:v>0.70096463022508038</c:v>
                </c:pt>
                <c:pt idx="3">
                  <c:v>0.69495596477181742</c:v>
                </c:pt>
                <c:pt idx="4">
                  <c:v>0.70015948963317387</c:v>
                </c:pt>
                <c:pt idx="5">
                  <c:v>0.70261697065820772</c:v>
                </c:pt>
                <c:pt idx="6">
                  <c:v>0.70261697065820772</c:v>
                </c:pt>
                <c:pt idx="7">
                  <c:v>0.70839936608557841</c:v>
                </c:pt>
                <c:pt idx="8">
                  <c:v>0.70634920634920639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20E-42D7-9875-9E8B82ADC801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Sheet2!$AK$17:$AK$25</c:f>
              <c:numCache>
                <c:formatCode>General</c:formatCode>
                <c:ptCount val="9"/>
                <c:pt idx="0">
                  <c:v>0.7351524879614767</c:v>
                </c:pt>
                <c:pt idx="1">
                  <c:v>0.73819055244195353</c:v>
                </c:pt>
                <c:pt idx="2">
                  <c:v>0.73885350318471332</c:v>
                </c:pt>
                <c:pt idx="3">
                  <c:v>0.73061550759392491</c:v>
                </c:pt>
                <c:pt idx="4">
                  <c:v>0.73280000000000001</c:v>
                </c:pt>
                <c:pt idx="5">
                  <c:v>0.72596153846153844</c:v>
                </c:pt>
                <c:pt idx="6">
                  <c:v>0.72057646116893515</c:v>
                </c:pt>
                <c:pt idx="7">
                  <c:v>0.71692060946271052</c:v>
                </c:pt>
                <c:pt idx="8">
                  <c:v>0.71531676022453894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20E-42D7-9875-9E8B82ADC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99024"/>
        <c:axId val="106708624"/>
      </c:lineChart>
      <c:catAx>
        <c:axId val="10669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8624"/>
        <c:crosses val="autoZero"/>
        <c:auto val="1"/>
        <c:lblAlgn val="ctr"/>
        <c:lblOffset val="100"/>
        <c:noMultiLvlLbl val="0"/>
      </c:catAx>
      <c:valAx>
        <c:axId val="1067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9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Sheet2!$B$4:$B$12</c:f>
              <c:numCache>
                <c:formatCode>General</c:formatCode>
                <c:ptCount val="9"/>
                <c:pt idx="0">
                  <c:v>0.71964140179299096</c:v>
                </c:pt>
                <c:pt idx="1">
                  <c:v>0.71719641401792988</c:v>
                </c:pt>
                <c:pt idx="2">
                  <c:v>0.72208638956805216</c:v>
                </c:pt>
                <c:pt idx="3">
                  <c:v>0.71556642216788913</c:v>
                </c:pt>
                <c:pt idx="4">
                  <c:v>0.71882640586797064</c:v>
                </c:pt>
                <c:pt idx="5">
                  <c:v>0.72860635696821519</c:v>
                </c:pt>
                <c:pt idx="6">
                  <c:v>0.72534637326813367</c:v>
                </c:pt>
                <c:pt idx="7">
                  <c:v>0.72697636511817443</c:v>
                </c:pt>
                <c:pt idx="8">
                  <c:v>0.73023634881825594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A-4063-8437-65AAABCAF25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Sheet2!$C$4:$C$12</c:f>
              <c:numCache>
                <c:formatCode>General</c:formatCode>
                <c:ptCount val="9"/>
                <c:pt idx="0">
                  <c:v>0.70986145069274653</c:v>
                </c:pt>
                <c:pt idx="1">
                  <c:v>0.7204563977180114</c:v>
                </c:pt>
                <c:pt idx="2">
                  <c:v>0.73431132844335778</c:v>
                </c:pt>
                <c:pt idx="3">
                  <c:v>0.73105134474327627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0.73594132029339854</c:v>
                </c:pt>
                <c:pt idx="7">
                  <c:v>0.73675631621841886</c:v>
                </c:pt>
                <c:pt idx="8">
                  <c:v>0.73920130399348005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A-4063-8437-65AAABCAF25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Sheet2!$D$4:$D$12</c:f>
              <c:numCache>
                <c:formatCode>General</c:formatCode>
                <c:ptCount val="9"/>
                <c:pt idx="0">
                  <c:v>0.73023634881825594</c:v>
                </c:pt>
                <c:pt idx="1">
                  <c:v>0.73268133659331702</c:v>
                </c:pt>
                <c:pt idx="2">
                  <c:v>0.73268133659331702</c:v>
                </c:pt>
                <c:pt idx="3">
                  <c:v>0.72697636511817443</c:v>
                </c:pt>
                <c:pt idx="4">
                  <c:v>0.72697636511817443</c:v>
                </c:pt>
                <c:pt idx="5">
                  <c:v>0.72127139364303183</c:v>
                </c:pt>
                <c:pt idx="6">
                  <c:v>0.71964140179299108</c:v>
                </c:pt>
                <c:pt idx="7">
                  <c:v>0.71312143439282805</c:v>
                </c:pt>
                <c:pt idx="8">
                  <c:v>0.70823145884270577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5A-4063-8437-65AAABCAF25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Sheet2!$E$4:$E$12</c:f>
              <c:numCache>
                <c:formatCode>General</c:formatCode>
                <c:ptCount val="9"/>
                <c:pt idx="0">
                  <c:v>0.71638141809290956</c:v>
                </c:pt>
                <c:pt idx="1">
                  <c:v>0.71882640586797064</c:v>
                </c:pt>
                <c:pt idx="2">
                  <c:v>0.7318663406682967</c:v>
                </c:pt>
                <c:pt idx="3">
                  <c:v>0.73268133659331702</c:v>
                </c:pt>
                <c:pt idx="4">
                  <c:v>0.73105134474327627</c:v>
                </c:pt>
                <c:pt idx="5">
                  <c:v>0.73105134474327627</c:v>
                </c:pt>
                <c:pt idx="6">
                  <c:v>0.73268133659331702</c:v>
                </c:pt>
                <c:pt idx="7">
                  <c:v>0.73105134474327627</c:v>
                </c:pt>
                <c:pt idx="8">
                  <c:v>0.74001629991850004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5A-4063-8437-65AAABCAF25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Sheet2!$F$4:$F$12</c:f>
              <c:numCache>
                <c:formatCode>General</c:formatCode>
                <c:ptCount val="9"/>
                <c:pt idx="0">
                  <c:v>0.69600651996740015</c:v>
                </c:pt>
                <c:pt idx="1">
                  <c:v>0.70415647921760394</c:v>
                </c:pt>
                <c:pt idx="2">
                  <c:v>0.70578647106764469</c:v>
                </c:pt>
                <c:pt idx="3">
                  <c:v>0.70904645476772621</c:v>
                </c:pt>
                <c:pt idx="4">
                  <c:v>0.71149144254278729</c:v>
                </c:pt>
                <c:pt idx="5">
                  <c:v>0.71230643846780761</c:v>
                </c:pt>
                <c:pt idx="6">
                  <c:v>0.70741646291768545</c:v>
                </c:pt>
                <c:pt idx="7">
                  <c:v>0.71230643846780761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5A-4063-8437-65AAABCAF25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Sheet2!$G$4:$G$12</c:f>
              <c:numCache>
                <c:formatCode>General</c:formatCode>
                <c:ptCount val="9"/>
                <c:pt idx="0">
                  <c:v>0.72942135289323551</c:v>
                </c:pt>
                <c:pt idx="1">
                  <c:v>0.73349633251833746</c:v>
                </c:pt>
                <c:pt idx="2">
                  <c:v>0.73349633251833746</c:v>
                </c:pt>
                <c:pt idx="3">
                  <c:v>0.72616136919315399</c:v>
                </c:pt>
                <c:pt idx="4">
                  <c:v>0.72860635696821519</c:v>
                </c:pt>
                <c:pt idx="5">
                  <c:v>0.72127139364303183</c:v>
                </c:pt>
                <c:pt idx="6">
                  <c:v>0.71719641401792988</c:v>
                </c:pt>
                <c:pt idx="7">
                  <c:v>0.71312143439282805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5A-4063-8437-65AAABCAF25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Sheet2!$H$4:$H$12</c:f>
              <c:numCache>
                <c:formatCode>General</c:formatCode>
                <c:ptCount val="9"/>
                <c:pt idx="0">
                  <c:v>0.67644661776691117</c:v>
                </c:pt>
                <c:pt idx="1">
                  <c:v>0.68459657701711496</c:v>
                </c:pt>
                <c:pt idx="2">
                  <c:v>0.67481662591687042</c:v>
                </c:pt>
                <c:pt idx="3">
                  <c:v>0.6886715566422168</c:v>
                </c:pt>
                <c:pt idx="4">
                  <c:v>0.69193154034229831</c:v>
                </c:pt>
                <c:pt idx="5">
                  <c:v>0.7033414832925835</c:v>
                </c:pt>
                <c:pt idx="6">
                  <c:v>0.7033414832925835</c:v>
                </c:pt>
                <c:pt idx="7">
                  <c:v>0.69926650366748166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5A-4063-8437-65AAABCAF25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Sheet2!$I$4:$I$12</c:f>
              <c:numCache>
                <c:formatCode>General</c:formatCode>
                <c:ptCount val="9"/>
                <c:pt idx="0">
                  <c:v>0.68133659331703345</c:v>
                </c:pt>
                <c:pt idx="1">
                  <c:v>0.6829665851670742</c:v>
                </c:pt>
                <c:pt idx="2">
                  <c:v>0.69682151589242058</c:v>
                </c:pt>
                <c:pt idx="3">
                  <c:v>0.68948655256723712</c:v>
                </c:pt>
                <c:pt idx="4">
                  <c:v>0.69356153219233907</c:v>
                </c:pt>
                <c:pt idx="5">
                  <c:v>0.69437652811735939</c:v>
                </c:pt>
                <c:pt idx="6">
                  <c:v>0.69437652811735939</c:v>
                </c:pt>
                <c:pt idx="7">
                  <c:v>0.70008149959250199</c:v>
                </c:pt>
                <c:pt idx="8">
                  <c:v>0.69845150774246134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5A-4063-8437-65AAABCAF25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Sheet2!$J$4:$J$12</c:f>
              <c:numCache>
                <c:formatCode>General</c:formatCode>
                <c:ptCount val="9"/>
                <c:pt idx="0">
                  <c:v>0.73105134474327627</c:v>
                </c:pt>
                <c:pt idx="1">
                  <c:v>0.73268133659331702</c:v>
                </c:pt>
                <c:pt idx="2">
                  <c:v>0.73268133659331702</c:v>
                </c:pt>
                <c:pt idx="3">
                  <c:v>0.72534637326813367</c:v>
                </c:pt>
                <c:pt idx="4">
                  <c:v>0.72697636511817443</c:v>
                </c:pt>
                <c:pt idx="5">
                  <c:v>0.72208638956805216</c:v>
                </c:pt>
                <c:pt idx="6">
                  <c:v>0.71638141809290956</c:v>
                </c:pt>
                <c:pt idx="7">
                  <c:v>0.71230643846780761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5A-4063-8437-65AAABCAF25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Sheet2!$K$4:$K$12</c:f>
              <c:numCache>
                <c:formatCode>General</c:formatCode>
                <c:ptCount val="9"/>
                <c:pt idx="0">
                  <c:v>0.71964140179299108</c:v>
                </c:pt>
                <c:pt idx="1">
                  <c:v>0.71719641401792988</c:v>
                </c:pt>
                <c:pt idx="2">
                  <c:v>0.72208638956805216</c:v>
                </c:pt>
                <c:pt idx="3">
                  <c:v>0.71556642216788913</c:v>
                </c:pt>
                <c:pt idx="4">
                  <c:v>0.71882640586797064</c:v>
                </c:pt>
                <c:pt idx="5">
                  <c:v>0.72860635696821519</c:v>
                </c:pt>
                <c:pt idx="6">
                  <c:v>0.72534637326813367</c:v>
                </c:pt>
                <c:pt idx="7">
                  <c:v>0.72697636511817443</c:v>
                </c:pt>
                <c:pt idx="8">
                  <c:v>0.73023634881825594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5A-4063-8437-65AAABCAF25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Sheet2!$L$4:$L$12</c:f>
              <c:numCache>
                <c:formatCode>General</c:formatCode>
                <c:ptCount val="9"/>
                <c:pt idx="0">
                  <c:v>0.70986145069274653</c:v>
                </c:pt>
                <c:pt idx="1">
                  <c:v>0.7204563977180114</c:v>
                </c:pt>
                <c:pt idx="2">
                  <c:v>0.73431132844335778</c:v>
                </c:pt>
                <c:pt idx="3">
                  <c:v>0.73105134474327627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0.73594132029339854</c:v>
                </c:pt>
                <c:pt idx="7">
                  <c:v>0.73675631621841886</c:v>
                </c:pt>
                <c:pt idx="8">
                  <c:v>0.73920130399348005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5A-4063-8437-65AAABCAF25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Sheet2!$M$4:$M$12</c:f>
              <c:numCache>
                <c:formatCode>General</c:formatCode>
                <c:ptCount val="9"/>
                <c:pt idx="0">
                  <c:v>0.73023634881825594</c:v>
                </c:pt>
                <c:pt idx="1">
                  <c:v>0.73431132844335778</c:v>
                </c:pt>
                <c:pt idx="2">
                  <c:v>0.73431132844335778</c:v>
                </c:pt>
                <c:pt idx="3">
                  <c:v>0.72616136919315399</c:v>
                </c:pt>
                <c:pt idx="4">
                  <c:v>0.72779136104319475</c:v>
                </c:pt>
                <c:pt idx="5">
                  <c:v>0.72208638956805216</c:v>
                </c:pt>
                <c:pt idx="6">
                  <c:v>0.71801140994295032</c:v>
                </c:pt>
                <c:pt idx="7">
                  <c:v>0.71312143439282805</c:v>
                </c:pt>
                <c:pt idx="8">
                  <c:v>0.70986145069274653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5A-4063-8437-65AAABCAF25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Sheet2!$N$4:$N$12</c:f>
              <c:numCache>
                <c:formatCode>General</c:formatCode>
                <c:ptCount val="9"/>
                <c:pt idx="0">
                  <c:v>0.71638141809290956</c:v>
                </c:pt>
                <c:pt idx="1">
                  <c:v>0.71882640586797064</c:v>
                </c:pt>
                <c:pt idx="2">
                  <c:v>0.7318663406682967</c:v>
                </c:pt>
                <c:pt idx="3">
                  <c:v>0.73268133659331702</c:v>
                </c:pt>
                <c:pt idx="4">
                  <c:v>0.73105134474327627</c:v>
                </c:pt>
                <c:pt idx="5">
                  <c:v>0.73105134474327627</c:v>
                </c:pt>
                <c:pt idx="6">
                  <c:v>0.73268133659331702</c:v>
                </c:pt>
                <c:pt idx="7">
                  <c:v>0.73105134474327627</c:v>
                </c:pt>
                <c:pt idx="8">
                  <c:v>0.74001629991850038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5A-4063-8437-65AAABCAF256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Sheet2!$O$4:$O$12</c:f>
              <c:numCache>
                <c:formatCode>General</c:formatCode>
                <c:ptCount val="9"/>
                <c:pt idx="0">
                  <c:v>0.69600651996740015</c:v>
                </c:pt>
                <c:pt idx="1">
                  <c:v>0.70415647921760394</c:v>
                </c:pt>
                <c:pt idx="2">
                  <c:v>0.70578647106764469</c:v>
                </c:pt>
                <c:pt idx="3">
                  <c:v>0.70904645476772621</c:v>
                </c:pt>
                <c:pt idx="4">
                  <c:v>0.71149144254278729</c:v>
                </c:pt>
                <c:pt idx="5">
                  <c:v>0.71230643846780761</c:v>
                </c:pt>
                <c:pt idx="6">
                  <c:v>0.70741646291768545</c:v>
                </c:pt>
                <c:pt idx="7">
                  <c:v>0.71230643846780761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25A-4063-8437-65AAABCAF256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Sheet2!$P$4:$P$12</c:f>
              <c:numCache>
                <c:formatCode>General</c:formatCode>
                <c:ptCount val="9"/>
                <c:pt idx="0">
                  <c:v>0.73105134474327627</c:v>
                </c:pt>
                <c:pt idx="1">
                  <c:v>0.73431132844335778</c:v>
                </c:pt>
                <c:pt idx="2">
                  <c:v>0.73349633251833746</c:v>
                </c:pt>
                <c:pt idx="3">
                  <c:v>0.72616136919315399</c:v>
                </c:pt>
                <c:pt idx="4">
                  <c:v>0.72779136104319475</c:v>
                </c:pt>
                <c:pt idx="5">
                  <c:v>0.7204563977180114</c:v>
                </c:pt>
                <c:pt idx="6">
                  <c:v>0.71719641401792988</c:v>
                </c:pt>
                <c:pt idx="7">
                  <c:v>0.71312143439282805</c:v>
                </c:pt>
                <c:pt idx="8">
                  <c:v>0.71067644661776697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5A-4063-8437-65AAABCAF256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Sheet2!$Q$4:$Q$12</c:f>
              <c:numCache>
                <c:formatCode>General</c:formatCode>
                <c:ptCount val="9"/>
                <c:pt idx="0">
                  <c:v>0.67644661776691117</c:v>
                </c:pt>
                <c:pt idx="1">
                  <c:v>0.68459657701711496</c:v>
                </c:pt>
                <c:pt idx="2">
                  <c:v>0.67481662591687042</c:v>
                </c:pt>
                <c:pt idx="3">
                  <c:v>0.6886715566422168</c:v>
                </c:pt>
                <c:pt idx="4">
                  <c:v>0.69193154034229831</c:v>
                </c:pt>
                <c:pt idx="5">
                  <c:v>0.7033414832925835</c:v>
                </c:pt>
                <c:pt idx="6">
                  <c:v>0.7033414832925835</c:v>
                </c:pt>
                <c:pt idx="7">
                  <c:v>0.69926650366748166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25A-4063-8437-65AAABCAF256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Sheet2!$R$4:$R$12</c:f>
              <c:numCache>
                <c:formatCode>General</c:formatCode>
                <c:ptCount val="9"/>
                <c:pt idx="0">
                  <c:v>0.68133659331703345</c:v>
                </c:pt>
                <c:pt idx="1">
                  <c:v>0.6829665851670742</c:v>
                </c:pt>
                <c:pt idx="2">
                  <c:v>0.69682151589242058</c:v>
                </c:pt>
                <c:pt idx="3">
                  <c:v>0.68948655256723712</c:v>
                </c:pt>
                <c:pt idx="4">
                  <c:v>0.69356153219233907</c:v>
                </c:pt>
                <c:pt idx="5">
                  <c:v>0.69437652811735939</c:v>
                </c:pt>
                <c:pt idx="6">
                  <c:v>0.69437652811735939</c:v>
                </c:pt>
                <c:pt idx="7">
                  <c:v>0.70008149959250199</c:v>
                </c:pt>
                <c:pt idx="8">
                  <c:v>0.69845150774246134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25A-4063-8437-65AAABCAF256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Sheet2!$S$4:$S$12</c:f>
              <c:numCache>
                <c:formatCode>General</c:formatCode>
                <c:ptCount val="9"/>
                <c:pt idx="0">
                  <c:v>0.73023634881825594</c:v>
                </c:pt>
                <c:pt idx="1">
                  <c:v>0.73349633251833746</c:v>
                </c:pt>
                <c:pt idx="2">
                  <c:v>0.73268133659331702</c:v>
                </c:pt>
                <c:pt idx="3">
                  <c:v>0.72779136104319475</c:v>
                </c:pt>
                <c:pt idx="4">
                  <c:v>0.72779136104319475</c:v>
                </c:pt>
                <c:pt idx="5">
                  <c:v>0.72127139364303183</c:v>
                </c:pt>
                <c:pt idx="6">
                  <c:v>0.71801140994295032</c:v>
                </c:pt>
                <c:pt idx="7">
                  <c:v>0.71149144254278729</c:v>
                </c:pt>
                <c:pt idx="8">
                  <c:v>0.70986145069274653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25A-4063-8437-65AAABCAF256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Sheet2!$T$4:$T$12</c:f>
              <c:numCache>
                <c:formatCode>General</c:formatCode>
                <c:ptCount val="9"/>
                <c:pt idx="0">
                  <c:v>0.71964140179299108</c:v>
                </c:pt>
                <c:pt idx="1">
                  <c:v>0.71719641401792988</c:v>
                </c:pt>
                <c:pt idx="2">
                  <c:v>0.72208638956805216</c:v>
                </c:pt>
                <c:pt idx="3">
                  <c:v>0.71556642216788913</c:v>
                </c:pt>
                <c:pt idx="4">
                  <c:v>0.71882640586797064</c:v>
                </c:pt>
                <c:pt idx="5">
                  <c:v>0.72860635696821519</c:v>
                </c:pt>
                <c:pt idx="6">
                  <c:v>0.72534637326813367</c:v>
                </c:pt>
                <c:pt idx="7">
                  <c:v>0.72697636511817443</c:v>
                </c:pt>
                <c:pt idx="8">
                  <c:v>0.73023634881825594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25A-4063-8437-65AAABCAF256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Sheet2!$U$4:$U$12</c:f>
              <c:numCache>
                <c:formatCode>General</c:formatCode>
                <c:ptCount val="9"/>
                <c:pt idx="0">
                  <c:v>0.70986145069274653</c:v>
                </c:pt>
                <c:pt idx="1">
                  <c:v>0.7204563977180114</c:v>
                </c:pt>
                <c:pt idx="2">
                  <c:v>0.73431132844335778</c:v>
                </c:pt>
                <c:pt idx="3">
                  <c:v>0.73105134474327627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0.73594132029339854</c:v>
                </c:pt>
                <c:pt idx="7">
                  <c:v>0.73675631621841886</c:v>
                </c:pt>
                <c:pt idx="8">
                  <c:v>0.73920130399348005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25A-4063-8437-65AAABCAF256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Sheet2!$V$4:$V$12</c:f>
              <c:numCache>
                <c:formatCode>General</c:formatCode>
                <c:ptCount val="9"/>
                <c:pt idx="0">
                  <c:v>0.73105134474327627</c:v>
                </c:pt>
                <c:pt idx="1">
                  <c:v>0.73349633251833746</c:v>
                </c:pt>
                <c:pt idx="2">
                  <c:v>0.73268133659331702</c:v>
                </c:pt>
                <c:pt idx="3">
                  <c:v>0.72616136919315399</c:v>
                </c:pt>
                <c:pt idx="4">
                  <c:v>0.72779136104319475</c:v>
                </c:pt>
                <c:pt idx="5">
                  <c:v>0.7204563977180114</c:v>
                </c:pt>
                <c:pt idx="6">
                  <c:v>0.71882640586797064</c:v>
                </c:pt>
                <c:pt idx="7">
                  <c:v>0.71312143439282805</c:v>
                </c:pt>
                <c:pt idx="8">
                  <c:v>0.70986145069274653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25A-4063-8437-65AAABCAF256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Sheet2!$W$4:$W$12</c:f>
              <c:numCache>
                <c:formatCode>General</c:formatCode>
                <c:ptCount val="9"/>
                <c:pt idx="0">
                  <c:v>0.71638141809290956</c:v>
                </c:pt>
                <c:pt idx="1">
                  <c:v>0.71882640586797064</c:v>
                </c:pt>
                <c:pt idx="2">
                  <c:v>0.7318663406682967</c:v>
                </c:pt>
                <c:pt idx="3">
                  <c:v>0.73268133659331702</c:v>
                </c:pt>
                <c:pt idx="4">
                  <c:v>0.73105134474327627</c:v>
                </c:pt>
                <c:pt idx="5">
                  <c:v>0.73105134474327627</c:v>
                </c:pt>
                <c:pt idx="6">
                  <c:v>0.73268133659331702</c:v>
                </c:pt>
                <c:pt idx="7">
                  <c:v>0.73105134474327627</c:v>
                </c:pt>
                <c:pt idx="8">
                  <c:v>0.74001629991850038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25A-4063-8437-65AAABCAF256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Sheet2!$X$4:$X$12</c:f>
              <c:numCache>
                <c:formatCode>General</c:formatCode>
                <c:ptCount val="9"/>
                <c:pt idx="0">
                  <c:v>0.69600651996740015</c:v>
                </c:pt>
                <c:pt idx="1">
                  <c:v>0.70415647921760394</c:v>
                </c:pt>
                <c:pt idx="2">
                  <c:v>0.70578647106764469</c:v>
                </c:pt>
                <c:pt idx="3">
                  <c:v>0.70904645476772621</c:v>
                </c:pt>
                <c:pt idx="4">
                  <c:v>0.71149144254278729</c:v>
                </c:pt>
                <c:pt idx="5">
                  <c:v>0.71230643846780761</c:v>
                </c:pt>
                <c:pt idx="6">
                  <c:v>0.70741646291768545</c:v>
                </c:pt>
                <c:pt idx="7">
                  <c:v>0.71230643846780761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25A-4063-8437-65AAABCAF256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Sheet2!$Y$4:$Y$12</c:f>
              <c:numCache>
                <c:formatCode>General</c:formatCode>
                <c:ptCount val="9"/>
                <c:pt idx="0">
                  <c:v>0.73105134474327627</c:v>
                </c:pt>
                <c:pt idx="1">
                  <c:v>0.73349633251833746</c:v>
                </c:pt>
                <c:pt idx="2">
                  <c:v>0.73268133659331702</c:v>
                </c:pt>
                <c:pt idx="3">
                  <c:v>0.72697636511817443</c:v>
                </c:pt>
                <c:pt idx="4">
                  <c:v>0.72697636511817443</c:v>
                </c:pt>
                <c:pt idx="5">
                  <c:v>0.72127139364303183</c:v>
                </c:pt>
                <c:pt idx="6">
                  <c:v>0.71801140994295032</c:v>
                </c:pt>
                <c:pt idx="7">
                  <c:v>0.71393643031784837</c:v>
                </c:pt>
                <c:pt idx="8">
                  <c:v>0.70986145069274653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25A-4063-8437-65AAABCAF256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Sheet2!$Z$4:$Z$12</c:f>
              <c:numCache>
                <c:formatCode>General</c:formatCode>
                <c:ptCount val="9"/>
                <c:pt idx="0">
                  <c:v>0.67644661776691117</c:v>
                </c:pt>
                <c:pt idx="1">
                  <c:v>0.68459657701711496</c:v>
                </c:pt>
                <c:pt idx="2">
                  <c:v>0.67481662591687042</c:v>
                </c:pt>
                <c:pt idx="3">
                  <c:v>0.6886715566422168</c:v>
                </c:pt>
                <c:pt idx="4">
                  <c:v>0.69193154034229831</c:v>
                </c:pt>
                <c:pt idx="5">
                  <c:v>0.7033414832925835</c:v>
                </c:pt>
                <c:pt idx="6">
                  <c:v>0.7033414832925835</c:v>
                </c:pt>
                <c:pt idx="7">
                  <c:v>0.69926650366748166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25A-4063-8437-65AAABCAF256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Sheet2!$AA$4:$AA$12</c:f>
              <c:numCache>
                <c:formatCode>General</c:formatCode>
                <c:ptCount val="9"/>
                <c:pt idx="0">
                  <c:v>0.68133659331703345</c:v>
                </c:pt>
                <c:pt idx="1">
                  <c:v>0.6829665851670742</c:v>
                </c:pt>
                <c:pt idx="2">
                  <c:v>0.69682151589242058</c:v>
                </c:pt>
                <c:pt idx="3">
                  <c:v>0.68948655256723712</c:v>
                </c:pt>
                <c:pt idx="4">
                  <c:v>0.69356153219233907</c:v>
                </c:pt>
                <c:pt idx="5">
                  <c:v>0.69437652811735939</c:v>
                </c:pt>
                <c:pt idx="6">
                  <c:v>0.69437652811735939</c:v>
                </c:pt>
                <c:pt idx="7">
                  <c:v>0.70008149959250199</c:v>
                </c:pt>
                <c:pt idx="8">
                  <c:v>0.69845150774246134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25A-4063-8437-65AAABCAF256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Sheet2!$AB$4:$AB$12</c:f>
              <c:numCache>
                <c:formatCode>General</c:formatCode>
                <c:ptCount val="9"/>
                <c:pt idx="0">
                  <c:v>0.7318663406682967</c:v>
                </c:pt>
                <c:pt idx="1">
                  <c:v>0.73349633251833746</c:v>
                </c:pt>
                <c:pt idx="2">
                  <c:v>0.73349633251833746</c:v>
                </c:pt>
                <c:pt idx="3">
                  <c:v>0.72616136919315399</c:v>
                </c:pt>
                <c:pt idx="4">
                  <c:v>0.72697636511817443</c:v>
                </c:pt>
                <c:pt idx="5">
                  <c:v>0.7204563977180114</c:v>
                </c:pt>
                <c:pt idx="6">
                  <c:v>0.71882640586797064</c:v>
                </c:pt>
                <c:pt idx="7">
                  <c:v>0.71312143439282805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25A-4063-8437-65AAABCAF256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Sheet2!$AC$4:$AC$12</c:f>
              <c:numCache>
                <c:formatCode>General</c:formatCode>
                <c:ptCount val="9"/>
                <c:pt idx="0">
                  <c:v>0.71964140179299108</c:v>
                </c:pt>
                <c:pt idx="1">
                  <c:v>0.71719641401792988</c:v>
                </c:pt>
                <c:pt idx="2">
                  <c:v>0.72208638956805216</c:v>
                </c:pt>
                <c:pt idx="3">
                  <c:v>0.71556642216788913</c:v>
                </c:pt>
                <c:pt idx="4">
                  <c:v>0.71882640586797064</c:v>
                </c:pt>
                <c:pt idx="5">
                  <c:v>0.72860635696821519</c:v>
                </c:pt>
                <c:pt idx="6">
                  <c:v>0.72534637326813367</c:v>
                </c:pt>
                <c:pt idx="7">
                  <c:v>0.72697636511817443</c:v>
                </c:pt>
                <c:pt idx="8">
                  <c:v>0.73023634881825594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25A-4063-8437-65AAABCAF256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Sheet2!$AD$4:$AD$12</c:f>
              <c:numCache>
                <c:formatCode>General</c:formatCode>
                <c:ptCount val="9"/>
                <c:pt idx="0">
                  <c:v>0.70986145069274653</c:v>
                </c:pt>
                <c:pt idx="1">
                  <c:v>0.7204563977180114</c:v>
                </c:pt>
                <c:pt idx="2">
                  <c:v>0.73431132844335778</c:v>
                </c:pt>
                <c:pt idx="3">
                  <c:v>0.73105134474327627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0.73594132029339854</c:v>
                </c:pt>
                <c:pt idx="7">
                  <c:v>0.73675631621841886</c:v>
                </c:pt>
                <c:pt idx="8">
                  <c:v>0.73920130399348005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25A-4063-8437-65AAABCAF256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Sheet2!$AE$4:$AE$12</c:f>
              <c:numCache>
                <c:formatCode>General</c:formatCode>
                <c:ptCount val="9"/>
                <c:pt idx="0">
                  <c:v>0.72942135289323551</c:v>
                </c:pt>
                <c:pt idx="1">
                  <c:v>0.73431132844335778</c:v>
                </c:pt>
                <c:pt idx="2">
                  <c:v>0.73023634881825594</c:v>
                </c:pt>
                <c:pt idx="3">
                  <c:v>0.72697636511817443</c:v>
                </c:pt>
                <c:pt idx="4">
                  <c:v>0.72616136919315399</c:v>
                </c:pt>
                <c:pt idx="5">
                  <c:v>0.72127139364303183</c:v>
                </c:pt>
                <c:pt idx="6">
                  <c:v>0.71638141809290956</c:v>
                </c:pt>
                <c:pt idx="7">
                  <c:v>0.71067644661776697</c:v>
                </c:pt>
                <c:pt idx="8">
                  <c:v>0.71067644661776697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25A-4063-8437-65AAABCAF256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Sheet2!$AF$4:$AF$12</c:f>
              <c:numCache>
                <c:formatCode>General</c:formatCode>
                <c:ptCount val="9"/>
                <c:pt idx="0">
                  <c:v>0.71638141809290956</c:v>
                </c:pt>
                <c:pt idx="1">
                  <c:v>0.71882640586797064</c:v>
                </c:pt>
                <c:pt idx="2">
                  <c:v>0.7318663406682967</c:v>
                </c:pt>
                <c:pt idx="3">
                  <c:v>0.73268133659331702</c:v>
                </c:pt>
                <c:pt idx="4">
                  <c:v>0.73105134474327627</c:v>
                </c:pt>
                <c:pt idx="5">
                  <c:v>0.73105134474327627</c:v>
                </c:pt>
                <c:pt idx="6">
                  <c:v>0.73268133659331702</c:v>
                </c:pt>
                <c:pt idx="7">
                  <c:v>0.73105134474327627</c:v>
                </c:pt>
                <c:pt idx="8">
                  <c:v>0.74001629991850038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25A-4063-8437-65AAABCAF256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Sheet2!$AG$4:$AG$12</c:f>
              <c:numCache>
                <c:formatCode>General</c:formatCode>
                <c:ptCount val="9"/>
                <c:pt idx="0">
                  <c:v>0.69600651996740015</c:v>
                </c:pt>
                <c:pt idx="1">
                  <c:v>0.70415647921760394</c:v>
                </c:pt>
                <c:pt idx="2">
                  <c:v>0.70578647106764469</c:v>
                </c:pt>
                <c:pt idx="3">
                  <c:v>0.70904645476772621</c:v>
                </c:pt>
                <c:pt idx="4">
                  <c:v>0.71149144254278729</c:v>
                </c:pt>
                <c:pt idx="5">
                  <c:v>0.71230643846780761</c:v>
                </c:pt>
                <c:pt idx="6">
                  <c:v>0.70741646291768545</c:v>
                </c:pt>
                <c:pt idx="7">
                  <c:v>0.71230643846780761</c:v>
                </c:pt>
                <c:pt idx="8">
                  <c:v>0.70904645476772621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25A-4063-8437-65AAABCAF256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Sheet2!$AH$4:$AH$12</c:f>
              <c:numCache>
                <c:formatCode>General</c:formatCode>
                <c:ptCount val="9"/>
                <c:pt idx="0">
                  <c:v>0.73105134474327627</c:v>
                </c:pt>
                <c:pt idx="1">
                  <c:v>0.73349633251833746</c:v>
                </c:pt>
                <c:pt idx="2">
                  <c:v>0.72942135289323551</c:v>
                </c:pt>
                <c:pt idx="3">
                  <c:v>0.72616136919315399</c:v>
                </c:pt>
                <c:pt idx="4">
                  <c:v>0.72453137734311324</c:v>
                </c:pt>
                <c:pt idx="5">
                  <c:v>0.72127139364303183</c:v>
                </c:pt>
                <c:pt idx="6">
                  <c:v>0.71719641401792988</c:v>
                </c:pt>
                <c:pt idx="7">
                  <c:v>0.71149144254278729</c:v>
                </c:pt>
                <c:pt idx="8">
                  <c:v>0.71067644661776697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25A-4063-8437-65AAABCAF256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Sheet2!$AI$4:$AI$12</c:f>
              <c:numCache>
                <c:formatCode>General</c:formatCode>
                <c:ptCount val="9"/>
                <c:pt idx="0">
                  <c:v>0.67644661776691117</c:v>
                </c:pt>
                <c:pt idx="1">
                  <c:v>0.68459657701711496</c:v>
                </c:pt>
                <c:pt idx="2">
                  <c:v>0.67481662591687042</c:v>
                </c:pt>
                <c:pt idx="3">
                  <c:v>0.6886715566422168</c:v>
                </c:pt>
                <c:pt idx="4">
                  <c:v>0.69193154034229831</c:v>
                </c:pt>
                <c:pt idx="5">
                  <c:v>0.7033414832925835</c:v>
                </c:pt>
                <c:pt idx="6">
                  <c:v>0.7033414832925835</c:v>
                </c:pt>
                <c:pt idx="7">
                  <c:v>0.69926650366748166</c:v>
                </c:pt>
                <c:pt idx="8">
                  <c:v>0.70089649551752242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25A-4063-8437-65AAABCAF256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Sheet2!$AJ$4:$AJ$12</c:f>
              <c:numCache>
                <c:formatCode>General</c:formatCode>
                <c:ptCount val="9"/>
                <c:pt idx="0">
                  <c:v>0.68133659331703345</c:v>
                </c:pt>
                <c:pt idx="1">
                  <c:v>0.6829665851670742</c:v>
                </c:pt>
                <c:pt idx="2">
                  <c:v>0.69682151589242058</c:v>
                </c:pt>
                <c:pt idx="3">
                  <c:v>0.68948655256723712</c:v>
                </c:pt>
                <c:pt idx="4">
                  <c:v>0.69356153219233907</c:v>
                </c:pt>
                <c:pt idx="5">
                  <c:v>0.69437652811735939</c:v>
                </c:pt>
                <c:pt idx="6">
                  <c:v>0.69437652811735939</c:v>
                </c:pt>
                <c:pt idx="7">
                  <c:v>0.70008149959250199</c:v>
                </c:pt>
                <c:pt idx="8">
                  <c:v>0.69845150774246134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25A-4063-8437-65AAABCAF256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Sheet2!$AK$4:$AK$12</c:f>
              <c:numCache>
                <c:formatCode>General</c:formatCode>
                <c:ptCount val="9"/>
                <c:pt idx="0">
                  <c:v>0.73105134474327627</c:v>
                </c:pt>
                <c:pt idx="1">
                  <c:v>0.73349633251833746</c:v>
                </c:pt>
                <c:pt idx="2">
                  <c:v>0.73268133659331702</c:v>
                </c:pt>
                <c:pt idx="3">
                  <c:v>0.72534637326813367</c:v>
                </c:pt>
                <c:pt idx="4">
                  <c:v>0.72779136104319475</c:v>
                </c:pt>
                <c:pt idx="5">
                  <c:v>0.72127139364303183</c:v>
                </c:pt>
                <c:pt idx="6">
                  <c:v>0.71556642216788913</c:v>
                </c:pt>
                <c:pt idx="7">
                  <c:v>0.71230643846780761</c:v>
                </c:pt>
                <c:pt idx="8">
                  <c:v>0.71067644661776697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25A-4063-8437-65AAABCAF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926800"/>
        <c:axId val="1023927280"/>
      </c:lineChart>
      <c:catAx>
        <c:axId val="10239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27280"/>
        <c:crosses val="autoZero"/>
        <c:auto val="1"/>
        <c:lblAlgn val="ctr"/>
        <c:lblOffset val="100"/>
        <c:noMultiLvlLbl val="0"/>
      </c:catAx>
      <c:valAx>
        <c:axId val="10239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2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F1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Sheet3!$G$2:$G$3</c:f>
              <c:strCache>
                <c:ptCount val="2"/>
                <c:pt idx="0">
                  <c:v>0.9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Sheet3!$F$4:$F$22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cat>
          <c:val>
            <c:numRef>
              <c:f>Sheet3!$G$4:$G$22</c:f>
              <c:numCache>
                <c:formatCode>General</c:formatCode>
                <c:ptCount val="19"/>
                <c:pt idx="0">
                  <c:v>0.71285475792988318</c:v>
                </c:pt>
                <c:pt idx="1">
                  <c:v>0.70864819479429053</c:v>
                </c:pt>
                <c:pt idx="2">
                  <c:v>0.7160699417152373</c:v>
                </c:pt>
                <c:pt idx="3">
                  <c:v>0.71416871416871419</c:v>
                </c:pt>
                <c:pt idx="4">
                  <c:v>0.71744471744471749</c:v>
                </c:pt>
                <c:pt idx="5">
                  <c:v>0.72410936205468102</c:v>
                </c:pt>
                <c:pt idx="6">
                  <c:v>0.72033195020746887</c:v>
                </c:pt>
                <c:pt idx="7">
                  <c:v>0.72152950955943473</c:v>
                </c:pt>
                <c:pt idx="8">
                  <c:v>0.72622001654259716</c:v>
                </c:pt>
                <c:pt idx="9">
                  <c:v>0.72727272727272729</c:v>
                </c:pt>
                <c:pt idx="10">
                  <c:v>0.73057851239669425</c:v>
                </c:pt>
                <c:pt idx="11">
                  <c:v>0.72847682119205293</c:v>
                </c:pt>
                <c:pt idx="12">
                  <c:v>0.72937293729372932</c:v>
                </c:pt>
                <c:pt idx="13">
                  <c:v>0.72847682119205293</c:v>
                </c:pt>
                <c:pt idx="14">
                  <c:v>0.72952853598014888</c:v>
                </c:pt>
                <c:pt idx="15">
                  <c:v>0.72410936205468102</c:v>
                </c:pt>
                <c:pt idx="16">
                  <c:v>0.72877164056059351</c:v>
                </c:pt>
                <c:pt idx="17">
                  <c:v>0.73206924979389942</c:v>
                </c:pt>
                <c:pt idx="18">
                  <c:v>0.72892561983471071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A-4DD0-8CD1-88920DE2F057}"/>
            </c:ext>
          </c:extLst>
        </c:ser>
        <c:ser>
          <c:idx val="1"/>
          <c:order val="1"/>
          <c:tx>
            <c:strRef>
              <c:f>Sheet3!$H$2:$H$3</c:f>
              <c:strCache>
                <c:ptCount val="2"/>
                <c:pt idx="0">
                  <c:v>0.9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Sheet3!$F$4:$F$22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cat>
          <c:val>
            <c:numRef>
              <c:f>Sheet3!$H$4:$H$22</c:f>
              <c:numCache>
                <c:formatCode>General</c:formatCode>
                <c:ptCount val="19"/>
                <c:pt idx="0">
                  <c:v>0.70723684210526305</c:v>
                </c:pt>
                <c:pt idx="1">
                  <c:v>0.71862182116488926</c:v>
                </c:pt>
                <c:pt idx="2">
                  <c:v>0.7336601307189542</c:v>
                </c:pt>
                <c:pt idx="3">
                  <c:v>0.73127035830618892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0.73658536585365852</c:v>
                </c:pt>
                <c:pt idx="7">
                  <c:v>0.73632653061224485</c:v>
                </c:pt>
                <c:pt idx="8">
                  <c:v>0.73941368078175895</c:v>
                </c:pt>
                <c:pt idx="9">
                  <c:v>0.73735725938009788</c:v>
                </c:pt>
                <c:pt idx="10">
                  <c:v>0.7371847030105777</c:v>
                </c:pt>
                <c:pt idx="11">
                  <c:v>0.73615635179153094</c:v>
                </c:pt>
                <c:pt idx="12">
                  <c:v>0.73735725938009788</c:v>
                </c:pt>
                <c:pt idx="13">
                  <c:v>0.73675631621841886</c:v>
                </c:pt>
                <c:pt idx="14">
                  <c:v>0.73632653061224485</c:v>
                </c:pt>
                <c:pt idx="15">
                  <c:v>0.73735725938009788</c:v>
                </c:pt>
                <c:pt idx="16">
                  <c:v>0.73916598528209321</c:v>
                </c:pt>
                <c:pt idx="17">
                  <c:v>0.73941368078175895</c:v>
                </c:pt>
                <c:pt idx="18">
                  <c:v>0.74019607843137258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A-4DD0-8CD1-88920DE2F057}"/>
            </c:ext>
          </c:extLst>
        </c:ser>
        <c:ser>
          <c:idx val="2"/>
          <c:order val="2"/>
          <c:tx>
            <c:strRef>
              <c:f>Sheet3!$I$2:$I$3</c:f>
              <c:strCache>
                <c:ptCount val="2"/>
                <c:pt idx="0">
                  <c:v>0.5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Sheet3!$F$4:$F$22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cat>
          <c:val>
            <c:numRef>
              <c:f>Sheet3!$I$4:$I$22</c:f>
              <c:numCache>
                <c:formatCode>General</c:formatCode>
                <c:ptCount val="19"/>
                <c:pt idx="0">
                  <c:v>0.71707317073170729</c:v>
                </c:pt>
                <c:pt idx="1">
                  <c:v>0.72064777327935226</c:v>
                </c:pt>
                <c:pt idx="2">
                  <c:v>0.73616680032076987</c:v>
                </c:pt>
                <c:pt idx="3">
                  <c:v>0.73333333333333328</c:v>
                </c:pt>
                <c:pt idx="4">
                  <c:v>0.73257698541329008</c:v>
                </c:pt>
                <c:pt idx="5">
                  <c:v>0.73127035830618892</c:v>
                </c:pt>
                <c:pt idx="6">
                  <c:v>0.73333333333333328</c:v>
                </c:pt>
                <c:pt idx="7">
                  <c:v>0.73039215686274506</c:v>
                </c:pt>
                <c:pt idx="8">
                  <c:v>0.73916598528209321</c:v>
                </c:pt>
                <c:pt idx="9">
                  <c:v>0.74061990212071782</c:v>
                </c:pt>
                <c:pt idx="10">
                  <c:v>0.73965936739659366</c:v>
                </c:pt>
                <c:pt idx="11">
                  <c:v>0.7424857839155159</c:v>
                </c:pt>
                <c:pt idx="12">
                  <c:v>0.73881204231082176</c:v>
                </c:pt>
                <c:pt idx="13">
                  <c:v>0.74188311688311692</c:v>
                </c:pt>
                <c:pt idx="14">
                  <c:v>0.73948220064724923</c:v>
                </c:pt>
                <c:pt idx="15">
                  <c:v>0.74433656957928807</c:v>
                </c:pt>
                <c:pt idx="16">
                  <c:v>0.74373484236054976</c:v>
                </c:pt>
                <c:pt idx="17">
                  <c:v>0.74535165723524655</c:v>
                </c:pt>
                <c:pt idx="18">
                  <c:v>0.74576271186440679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AA-4DD0-8CD1-88920DE2F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14640"/>
        <c:axId val="134512720"/>
      </c:lineChart>
      <c:catAx>
        <c:axId val="13451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2720"/>
        <c:crosses val="autoZero"/>
        <c:auto val="1"/>
        <c:lblAlgn val="ctr"/>
        <c:lblOffset val="100"/>
        <c:noMultiLvlLbl val="0"/>
      </c:catAx>
      <c:valAx>
        <c:axId val="1345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Sheet3!$B$2:$B$3</c:f>
              <c:strCache>
                <c:ptCount val="2"/>
                <c:pt idx="0">
                  <c:v>0.9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Sheet3!$A$4:$A$22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cat>
          <c:val>
            <c:numRef>
              <c:f>Sheet3!$B$4:$B$22</c:f>
              <c:numCache>
                <c:formatCode>General</c:formatCode>
                <c:ptCount val="19"/>
                <c:pt idx="0">
                  <c:v>0.71964140179299108</c:v>
                </c:pt>
                <c:pt idx="1">
                  <c:v>0.71719641401792988</c:v>
                </c:pt>
                <c:pt idx="2">
                  <c:v>0.72208638956805216</c:v>
                </c:pt>
                <c:pt idx="3">
                  <c:v>0.71556642216788913</c:v>
                </c:pt>
                <c:pt idx="4">
                  <c:v>0.71882640586797064</c:v>
                </c:pt>
                <c:pt idx="5">
                  <c:v>0.72860635696821519</c:v>
                </c:pt>
                <c:pt idx="6">
                  <c:v>0.72534637326813367</c:v>
                </c:pt>
                <c:pt idx="7">
                  <c:v>0.72697636511817443</c:v>
                </c:pt>
                <c:pt idx="8">
                  <c:v>0.73023634881825594</c:v>
                </c:pt>
                <c:pt idx="9">
                  <c:v>0.73105134474327627</c:v>
                </c:pt>
                <c:pt idx="10">
                  <c:v>0.73431132844335778</c:v>
                </c:pt>
                <c:pt idx="11">
                  <c:v>0.73268133659331702</c:v>
                </c:pt>
                <c:pt idx="12">
                  <c:v>0.73268133659331702</c:v>
                </c:pt>
                <c:pt idx="13">
                  <c:v>0.73268133659331702</c:v>
                </c:pt>
                <c:pt idx="14">
                  <c:v>0.73349633251833746</c:v>
                </c:pt>
                <c:pt idx="15">
                  <c:v>0.72860635696821519</c:v>
                </c:pt>
                <c:pt idx="16">
                  <c:v>0.7318663406682967</c:v>
                </c:pt>
                <c:pt idx="17">
                  <c:v>0.7351263243683781</c:v>
                </c:pt>
                <c:pt idx="18">
                  <c:v>0.73268133659331702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F-428F-BF65-75BAD739B7AF}"/>
            </c:ext>
          </c:extLst>
        </c:ser>
        <c:ser>
          <c:idx val="1"/>
          <c:order val="1"/>
          <c:tx>
            <c:strRef>
              <c:f>Sheet3!$C$2:$C$3</c:f>
              <c:strCache>
                <c:ptCount val="2"/>
                <c:pt idx="0">
                  <c:v>0.9</c:v>
                </c:pt>
                <c:pt idx="1">
                  <c:v>gbtree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Sheet3!$A$4:$A$22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cat>
          <c:val>
            <c:numRef>
              <c:f>Sheet3!$C$4:$C$22</c:f>
              <c:numCache>
                <c:formatCode>General</c:formatCode>
                <c:ptCount val="19"/>
                <c:pt idx="0">
                  <c:v>0.70986145069274653</c:v>
                </c:pt>
                <c:pt idx="1">
                  <c:v>0.7204563977180114</c:v>
                </c:pt>
                <c:pt idx="2">
                  <c:v>0.73431132844335778</c:v>
                </c:pt>
                <c:pt idx="3">
                  <c:v>0.73105134474327627</c:v>
                </c:pt>
                <c:pt idx="4">
                  <c:v>0.73349633251833746</c:v>
                </c:pt>
                <c:pt idx="5">
                  <c:v>0.73675631621841886</c:v>
                </c:pt>
                <c:pt idx="6">
                  <c:v>0.73594132029339854</c:v>
                </c:pt>
                <c:pt idx="7">
                  <c:v>0.73675631621841886</c:v>
                </c:pt>
                <c:pt idx="8">
                  <c:v>0.73920130399348005</c:v>
                </c:pt>
                <c:pt idx="9">
                  <c:v>0.73757131214343929</c:v>
                </c:pt>
                <c:pt idx="10">
                  <c:v>0.73675631621841886</c:v>
                </c:pt>
                <c:pt idx="11">
                  <c:v>0.73594132029339854</c:v>
                </c:pt>
                <c:pt idx="12">
                  <c:v>0.73757131214343929</c:v>
                </c:pt>
                <c:pt idx="13">
                  <c:v>0.73675631621841886</c:v>
                </c:pt>
                <c:pt idx="14">
                  <c:v>0.73675631621841886</c:v>
                </c:pt>
                <c:pt idx="15">
                  <c:v>0.73757131214343929</c:v>
                </c:pt>
                <c:pt idx="16">
                  <c:v>0.74001629991850038</c:v>
                </c:pt>
                <c:pt idx="17">
                  <c:v>0.73920130399348005</c:v>
                </c:pt>
                <c:pt idx="18">
                  <c:v>0.74083129584352081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F-428F-BF65-75BAD739B7AF}"/>
            </c:ext>
          </c:extLst>
        </c:ser>
        <c:ser>
          <c:idx val="2"/>
          <c:order val="2"/>
          <c:tx>
            <c:strRef>
              <c:f>Sheet3!$D$2:$D$3</c:f>
              <c:strCache>
                <c:ptCount val="2"/>
                <c:pt idx="0">
                  <c:v>0.5</c:v>
                </c:pt>
                <c:pt idx="1">
                  <c:v>dart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Sheet3!$A$4:$A$22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cat>
          <c:val>
            <c:numRef>
              <c:f>Sheet3!$D$4:$D$22</c:f>
              <c:numCache>
                <c:formatCode>General</c:formatCode>
                <c:ptCount val="19"/>
                <c:pt idx="0">
                  <c:v>0.71638141809290956</c:v>
                </c:pt>
                <c:pt idx="1">
                  <c:v>0.71882640586797064</c:v>
                </c:pt>
                <c:pt idx="2">
                  <c:v>0.7318663406682967</c:v>
                </c:pt>
                <c:pt idx="3">
                  <c:v>0.73268133659331702</c:v>
                </c:pt>
                <c:pt idx="4">
                  <c:v>0.73105134474327627</c:v>
                </c:pt>
                <c:pt idx="5">
                  <c:v>0.73105134474327627</c:v>
                </c:pt>
                <c:pt idx="6">
                  <c:v>0.73268133659331702</c:v>
                </c:pt>
                <c:pt idx="7">
                  <c:v>0.73105134474327627</c:v>
                </c:pt>
                <c:pt idx="8">
                  <c:v>0.74001629991850038</c:v>
                </c:pt>
                <c:pt idx="9">
                  <c:v>0.74083129584352081</c:v>
                </c:pt>
                <c:pt idx="10">
                  <c:v>0.73838630806845962</c:v>
                </c:pt>
                <c:pt idx="11">
                  <c:v>0.74164629176854113</c:v>
                </c:pt>
                <c:pt idx="12">
                  <c:v>0.73838630806845962</c:v>
                </c:pt>
                <c:pt idx="13">
                  <c:v>0.74083129584352081</c:v>
                </c:pt>
                <c:pt idx="14">
                  <c:v>0.73757131214343929</c:v>
                </c:pt>
                <c:pt idx="15">
                  <c:v>0.74246128769356157</c:v>
                </c:pt>
                <c:pt idx="16">
                  <c:v>0.74164629176854113</c:v>
                </c:pt>
                <c:pt idx="17">
                  <c:v>0.74327628361858189</c:v>
                </c:pt>
                <c:pt idx="18">
                  <c:v>0.74327628361858189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F-428F-BF65-75BAD739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19920"/>
        <c:axId val="134505520"/>
      </c:lineChart>
      <c:catAx>
        <c:axId val="1345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5520"/>
        <c:crosses val="autoZero"/>
        <c:auto val="1"/>
        <c:lblAlgn val="ctr"/>
        <c:lblOffset val="100"/>
        <c:noMultiLvlLbl val="0"/>
      </c:catAx>
      <c:valAx>
        <c:axId val="1345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46182</xdr:colOff>
      <xdr:row>27</xdr:row>
      <xdr:rowOff>36945</xdr:rowOff>
    </xdr:from>
    <xdr:to>
      <xdr:col>22</xdr:col>
      <xdr:colOff>531091</xdr:colOff>
      <xdr:row>53</xdr:row>
      <xdr:rowOff>76969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0608B-4D0B-38EE-9168-7EF972394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273170</xdr:colOff>
      <xdr:row>27</xdr:row>
      <xdr:rowOff>78698</xdr:rowOff>
    </xdr:from>
    <xdr:to>
      <xdr:col>41</xdr:col>
      <xdr:colOff>560716</xdr:colOff>
      <xdr:row>53</xdr:row>
      <xdr:rowOff>115019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43FDF8-DF74-13C2-786F-6DFA6D752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564105</xdr:colOff>
      <xdr:row>28</xdr:row>
      <xdr:rowOff>121907</xdr:rowOff>
    </xdr:from>
    <xdr:to>
      <xdr:col>28</xdr:col>
      <xdr:colOff>534223</xdr:colOff>
      <xdr:row>69</xdr:row>
      <xdr:rowOff>74096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582380-7C19-09AA-43E8-FC9520B3F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46652</xdr:colOff>
      <xdr:row>28</xdr:row>
      <xdr:rowOff>121296</xdr:rowOff>
    </xdr:from>
    <xdr:to>
      <xdr:col>52</xdr:col>
      <xdr:colOff>400049</xdr:colOff>
      <xdr:row>69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3A0AB2-07F8-EE31-6BD3-10A08F900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8818</xdr:colOff>
      <xdr:row>15</xdr:row>
      <xdr:rowOff>22828</xdr:rowOff>
    </xdr:from>
    <xdr:to>
      <xdr:col>17</xdr:col>
      <xdr:colOff>296128</xdr:colOff>
      <xdr:row>29</xdr:row>
      <xdr:rowOff>134666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BFEFC9-9484-9153-8EAE-A42240450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14694</xdr:colOff>
      <xdr:row>0</xdr:row>
      <xdr:rowOff>0</xdr:rowOff>
    </xdr:from>
    <xdr:to>
      <xdr:col>17</xdr:col>
      <xdr:colOff>302006</xdr:colOff>
      <xdr:row>14</xdr:row>
      <xdr:rowOff>111837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0E3D29-9FE8-9D0B-CD20-2913864F2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CD4C-3E31-40CF-89C4-442149891283}">
  <dimension ref="A1:AH38"/>
  <sheetViews>
    <sheetView topLeftCell="A6" zoomScale="87" zoomScaleNormal="74" workbookViewId="0">
      <selection activeCell="C29" sqref="C29"/>
    </sheetView>
  </sheetViews>
  <sheetFormatPr defaultRowHeight="15" x14ac:dyDescent="0.25"/>
  <sheetData>
    <row r="1" spans="1:34" x14ac:dyDescent="0.25">
      <c r="A1" s="2" t="s">
        <v>7</v>
      </c>
      <c r="B1" s="14" t="s">
        <v>0</v>
      </c>
      <c r="C1" s="14"/>
      <c r="D1" s="14"/>
      <c r="E1" s="14"/>
      <c r="F1" s="14"/>
      <c r="G1" s="14"/>
      <c r="H1" s="14" t="s">
        <v>1</v>
      </c>
      <c r="I1" s="14"/>
      <c r="J1" s="14"/>
      <c r="K1" s="14"/>
      <c r="L1" s="14"/>
      <c r="M1" s="14"/>
      <c r="N1" s="14" t="s">
        <v>5</v>
      </c>
      <c r="O1" s="14"/>
      <c r="P1" s="14"/>
      <c r="Q1" s="14"/>
      <c r="R1" s="14"/>
      <c r="S1" s="14"/>
      <c r="T1" s="14" t="s">
        <v>6</v>
      </c>
      <c r="U1" s="14"/>
      <c r="V1" s="14"/>
      <c r="W1" s="14"/>
      <c r="X1" s="14"/>
      <c r="Y1" s="14"/>
      <c r="AA1" s="13" t="s">
        <v>0</v>
      </c>
      <c r="AB1" s="13"/>
      <c r="AC1" s="13" t="s">
        <v>1</v>
      </c>
      <c r="AD1" s="13"/>
      <c r="AE1" s="13" t="s">
        <v>5</v>
      </c>
      <c r="AF1" s="13"/>
      <c r="AG1" s="13" t="s">
        <v>6</v>
      </c>
      <c r="AH1" s="13"/>
    </row>
    <row r="2" spans="1:34" x14ac:dyDescent="0.25">
      <c r="A2" s="2"/>
      <c r="B2" s="2" t="s">
        <v>2</v>
      </c>
      <c r="C2" s="2" t="s">
        <v>3</v>
      </c>
      <c r="D2" s="2" t="s">
        <v>4</v>
      </c>
      <c r="E2" s="5" t="s">
        <v>2</v>
      </c>
      <c r="F2" s="2" t="s">
        <v>3</v>
      </c>
      <c r="G2" s="2" t="s">
        <v>4</v>
      </c>
      <c r="H2" s="2" t="s">
        <v>2</v>
      </c>
      <c r="I2" s="2" t="s">
        <v>3</v>
      </c>
      <c r="J2" s="2" t="s">
        <v>4</v>
      </c>
      <c r="K2" s="5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  <c r="Q2" s="5" t="s">
        <v>2</v>
      </c>
      <c r="R2" s="2" t="s">
        <v>3</v>
      </c>
      <c r="S2" s="2" t="s">
        <v>4</v>
      </c>
      <c r="T2" s="2" t="s">
        <v>2</v>
      </c>
      <c r="U2" s="2" t="s">
        <v>3</v>
      </c>
      <c r="V2" s="2" t="s">
        <v>4</v>
      </c>
      <c r="W2" s="5" t="s">
        <v>2</v>
      </c>
      <c r="X2" s="2" t="s">
        <v>3</v>
      </c>
      <c r="Y2" s="2" t="s">
        <v>4</v>
      </c>
      <c r="AA2">
        <v>0.9</v>
      </c>
      <c r="AB2">
        <v>0.5</v>
      </c>
      <c r="AC2">
        <v>0.9</v>
      </c>
      <c r="AD2">
        <v>0.5</v>
      </c>
      <c r="AE2">
        <v>0.9</v>
      </c>
      <c r="AF2">
        <v>0.5</v>
      </c>
      <c r="AG2">
        <v>0.9</v>
      </c>
      <c r="AH2">
        <v>0.5</v>
      </c>
    </row>
    <row r="3" spans="1:34" x14ac:dyDescent="0.25">
      <c r="A3" s="2"/>
      <c r="B3" s="14">
        <v>0.9</v>
      </c>
      <c r="C3" s="14"/>
      <c r="D3" s="14"/>
      <c r="E3" s="14">
        <v>0.5</v>
      </c>
      <c r="F3" s="14"/>
      <c r="G3" s="14"/>
      <c r="H3" s="14">
        <v>0.9</v>
      </c>
      <c r="I3" s="14"/>
      <c r="J3" s="14"/>
      <c r="K3" s="14">
        <v>0.5</v>
      </c>
      <c r="L3" s="14"/>
      <c r="M3" s="14"/>
      <c r="N3" s="14">
        <v>0.9</v>
      </c>
      <c r="O3" s="14"/>
      <c r="P3" s="14"/>
      <c r="Q3" s="14">
        <v>0.5</v>
      </c>
      <c r="R3" s="14"/>
      <c r="S3" s="14"/>
      <c r="T3" s="14">
        <v>0.9</v>
      </c>
      <c r="U3" s="14"/>
      <c r="V3" s="14"/>
      <c r="W3" s="14">
        <v>0.5</v>
      </c>
      <c r="X3" s="14"/>
      <c r="Y3" s="14"/>
    </row>
    <row r="4" spans="1:34" x14ac:dyDescent="0.25">
      <c r="A4" s="2">
        <v>100</v>
      </c>
      <c r="B4" s="3">
        <v>0.74450000000000005</v>
      </c>
      <c r="C4" s="3">
        <v>0.74180000000000001</v>
      </c>
      <c r="D4" s="3">
        <v>0.7288</v>
      </c>
      <c r="E4" s="3">
        <v>0.73380000000000001</v>
      </c>
      <c r="F4" s="3">
        <v>0.73240000000000005</v>
      </c>
      <c r="G4" s="3">
        <v>0.72809999999999997</v>
      </c>
      <c r="H4" s="3">
        <v>0.74450000000000005</v>
      </c>
      <c r="I4" s="3">
        <v>0.74170000000000003</v>
      </c>
      <c r="J4" s="3">
        <v>0.7288</v>
      </c>
      <c r="K4" s="3">
        <v>0.73380000000000001</v>
      </c>
      <c r="L4" s="3">
        <v>0.73240000000000005</v>
      </c>
      <c r="M4" s="3">
        <v>0.73019999999999996</v>
      </c>
      <c r="N4" s="3">
        <v>0.74460000000000004</v>
      </c>
      <c r="O4" s="3">
        <v>0.74170000000000003</v>
      </c>
      <c r="P4" s="3">
        <v>0.73019999999999996</v>
      </c>
      <c r="Q4" s="3">
        <v>0.73380000000000001</v>
      </c>
      <c r="R4" s="3">
        <v>0.73240000000000005</v>
      </c>
      <c r="S4" s="3">
        <v>0.73019999999999996</v>
      </c>
      <c r="T4" s="3">
        <v>0.74460000000000004</v>
      </c>
      <c r="U4" s="3">
        <v>0.74170000000000003</v>
      </c>
      <c r="V4" s="3">
        <v>0.72589999999999999</v>
      </c>
      <c r="W4" s="3">
        <v>0.73380000000000001</v>
      </c>
      <c r="X4" s="3">
        <v>0.73240000000000005</v>
      </c>
      <c r="Y4" s="3">
        <v>0.7288</v>
      </c>
    </row>
    <row r="5" spans="1:34" x14ac:dyDescent="0.25">
      <c r="A5" s="2">
        <v>150</v>
      </c>
      <c r="B5" s="3">
        <v>0.75029999999999997</v>
      </c>
      <c r="C5" s="3">
        <v>0.74529999999999996</v>
      </c>
      <c r="D5" s="3">
        <v>0.72589999999999999</v>
      </c>
      <c r="E5" s="3">
        <v>0.74519999999999997</v>
      </c>
      <c r="F5" s="3">
        <v>0.73450000000000004</v>
      </c>
      <c r="G5" s="3">
        <v>0.72519999999999996</v>
      </c>
      <c r="H5" s="3">
        <v>0.75039999999999996</v>
      </c>
      <c r="I5" s="3">
        <v>0.74529999999999996</v>
      </c>
      <c r="J5" s="3">
        <v>0.72450000000000003</v>
      </c>
      <c r="K5" s="3">
        <v>0.74529999999999996</v>
      </c>
      <c r="L5" s="3">
        <v>0.73450000000000004</v>
      </c>
      <c r="M5" s="3">
        <v>0.72160000000000002</v>
      </c>
      <c r="N5" s="3">
        <v>0.75039999999999996</v>
      </c>
      <c r="O5" s="3">
        <v>0.74529999999999996</v>
      </c>
      <c r="P5" s="3">
        <v>0.72089999999999999</v>
      </c>
      <c r="Q5" s="3">
        <v>0.74529999999999996</v>
      </c>
      <c r="R5" s="3">
        <v>0.73450000000000004</v>
      </c>
      <c r="S5" s="3">
        <v>0.72370000000000001</v>
      </c>
      <c r="T5" s="3">
        <v>0.75039999999999996</v>
      </c>
      <c r="U5" s="3">
        <v>0.74529999999999996</v>
      </c>
      <c r="V5" s="3">
        <v>0.72450000000000003</v>
      </c>
      <c r="W5" s="3">
        <v>0.74529999999999996</v>
      </c>
      <c r="X5" s="3">
        <v>0.73450000000000004</v>
      </c>
      <c r="Y5" s="3">
        <v>0.72299999999999998</v>
      </c>
    </row>
    <row r="6" spans="1:34" x14ac:dyDescent="0.25">
      <c r="A6" s="5">
        <v>200</v>
      </c>
      <c r="B6" s="3">
        <v>0.75460000000000005</v>
      </c>
      <c r="C6" s="3">
        <v>0.74680000000000002</v>
      </c>
      <c r="D6" s="3">
        <v>0.72230000000000005</v>
      </c>
      <c r="E6" s="4">
        <v>0.75970000000000004</v>
      </c>
      <c r="F6" s="3">
        <v>0.74250000000000005</v>
      </c>
      <c r="G6" s="3">
        <v>0.72299999999999998</v>
      </c>
      <c r="H6" s="3">
        <v>0.75470000000000004</v>
      </c>
      <c r="I6" s="3">
        <v>0.74680000000000002</v>
      </c>
      <c r="J6" s="3">
        <v>0.72370000000000001</v>
      </c>
      <c r="K6" s="4">
        <v>0.75970000000000004</v>
      </c>
      <c r="L6" s="3">
        <v>0.74239999999999995</v>
      </c>
      <c r="M6" s="3">
        <v>0.72450000000000003</v>
      </c>
      <c r="N6" s="3">
        <v>0.75470000000000004</v>
      </c>
      <c r="O6" s="3">
        <v>0.74680000000000002</v>
      </c>
      <c r="P6" s="3">
        <v>0.72299999999999998</v>
      </c>
      <c r="Q6" s="4">
        <v>0.75970000000000004</v>
      </c>
      <c r="R6" s="3">
        <v>0.74239999999999995</v>
      </c>
      <c r="S6" s="3">
        <v>0.72230000000000005</v>
      </c>
      <c r="T6" s="3">
        <v>0.75470000000000004</v>
      </c>
      <c r="U6" s="3">
        <v>0.74680000000000002</v>
      </c>
      <c r="V6" s="3">
        <v>0.72299999999999998</v>
      </c>
      <c r="W6" s="4">
        <v>0.75970000000000004</v>
      </c>
      <c r="X6" s="3">
        <v>0.74239999999999995</v>
      </c>
      <c r="Y6" s="3">
        <v>0.72299999999999998</v>
      </c>
    </row>
    <row r="7" spans="1:34" x14ac:dyDescent="0.25">
      <c r="A7" s="2">
        <v>250</v>
      </c>
      <c r="B7" s="3">
        <v>0.75390000000000001</v>
      </c>
      <c r="C7" s="3">
        <v>0.74819999999999998</v>
      </c>
      <c r="D7" s="3">
        <v>0.72230000000000005</v>
      </c>
      <c r="E7" s="3">
        <v>0.74819999999999998</v>
      </c>
      <c r="F7" s="3">
        <v>0.74250000000000005</v>
      </c>
      <c r="G7" s="3">
        <v>0.72299999999999998</v>
      </c>
      <c r="H7" s="3">
        <v>0.754</v>
      </c>
      <c r="I7" s="3">
        <v>0.74819999999999998</v>
      </c>
      <c r="J7" s="3">
        <v>0.72299999999999998</v>
      </c>
      <c r="K7" s="3">
        <v>0.74819999999999998</v>
      </c>
      <c r="L7" s="3">
        <v>0.74239999999999995</v>
      </c>
      <c r="M7" s="3">
        <v>0.72370000000000001</v>
      </c>
      <c r="N7" s="3">
        <v>0.754</v>
      </c>
      <c r="O7" s="3">
        <v>0.74819999999999998</v>
      </c>
      <c r="P7" s="3">
        <v>0.72299999999999998</v>
      </c>
      <c r="Q7" s="3">
        <v>0.74819999999999998</v>
      </c>
      <c r="R7" s="3">
        <v>0.74239999999999995</v>
      </c>
      <c r="S7" s="3">
        <v>0.72299999999999998</v>
      </c>
      <c r="T7" s="3">
        <v>0.754</v>
      </c>
      <c r="U7" s="3">
        <v>0.74819999999999998</v>
      </c>
      <c r="V7" s="3">
        <v>0.72450000000000003</v>
      </c>
      <c r="W7" s="3">
        <v>0.74819999999999998</v>
      </c>
      <c r="X7" s="3">
        <v>0.74239999999999995</v>
      </c>
      <c r="Y7" s="3">
        <v>0.72299999999999998</v>
      </c>
    </row>
    <row r="8" spans="1:34" x14ac:dyDescent="0.25">
      <c r="A8" s="2">
        <v>300</v>
      </c>
      <c r="B8" s="3">
        <v>0.75460000000000005</v>
      </c>
      <c r="C8" s="3">
        <v>0.74819999999999998</v>
      </c>
      <c r="D8" s="3">
        <v>0.71950000000000003</v>
      </c>
      <c r="E8" s="3">
        <v>0.75170000000000003</v>
      </c>
      <c r="F8" s="3">
        <v>0.74250000000000005</v>
      </c>
      <c r="G8" s="3">
        <v>0.72019999999999995</v>
      </c>
      <c r="H8" s="3">
        <v>0.75470000000000004</v>
      </c>
      <c r="I8" s="3">
        <v>0.74819999999999998</v>
      </c>
      <c r="J8" s="3">
        <v>0.71870000000000001</v>
      </c>
      <c r="K8" s="3">
        <v>0.75180000000000002</v>
      </c>
      <c r="L8" s="3">
        <v>0.74239999999999995</v>
      </c>
      <c r="M8" s="3">
        <v>0.71870000000000001</v>
      </c>
      <c r="N8" s="3">
        <v>0.75470000000000004</v>
      </c>
      <c r="O8" s="3">
        <v>0.74819999999999998</v>
      </c>
      <c r="P8" s="3">
        <v>0.71799999999999997</v>
      </c>
      <c r="Q8" s="3">
        <v>0.75180000000000002</v>
      </c>
      <c r="R8" s="3">
        <v>0.74239999999999995</v>
      </c>
      <c r="S8" s="3">
        <v>0.72009999999999996</v>
      </c>
      <c r="T8" s="3">
        <v>0.75470000000000004</v>
      </c>
      <c r="U8" s="3">
        <v>0.74819999999999998</v>
      </c>
      <c r="V8" s="3">
        <v>0.72009999999999996</v>
      </c>
      <c r="W8" s="3">
        <v>0.75180000000000002</v>
      </c>
      <c r="X8" s="3">
        <v>0.74239999999999995</v>
      </c>
      <c r="Y8" s="3">
        <v>0.72089999999999999</v>
      </c>
    </row>
    <row r="9" spans="1:34" x14ac:dyDescent="0.25">
      <c r="A9" s="2">
        <v>350</v>
      </c>
      <c r="B9" s="3">
        <v>0.75380000000000003</v>
      </c>
      <c r="C9" s="3">
        <v>0.75109999999999999</v>
      </c>
      <c r="D9" s="3">
        <v>0.71660000000000001</v>
      </c>
      <c r="E9" s="3">
        <v>0.74809999999999999</v>
      </c>
      <c r="F9" s="3">
        <v>0.74029999999999996</v>
      </c>
      <c r="G9" s="3">
        <v>0.71509999999999996</v>
      </c>
      <c r="H9" s="3">
        <v>0.754</v>
      </c>
      <c r="I9" s="3">
        <v>0.75109999999999999</v>
      </c>
      <c r="J9" s="3">
        <v>0.71289999999999998</v>
      </c>
      <c r="K9" s="3">
        <v>0.74819999999999998</v>
      </c>
      <c r="L9" s="3">
        <v>0.74029999999999996</v>
      </c>
      <c r="M9" s="3">
        <v>0.71579999999999999</v>
      </c>
      <c r="N9" s="3">
        <v>0.754</v>
      </c>
      <c r="O9" s="3">
        <v>0.75109999999999999</v>
      </c>
      <c r="P9" s="3">
        <v>0.71440000000000003</v>
      </c>
      <c r="Q9" s="3">
        <v>0.74819999999999998</v>
      </c>
      <c r="R9" s="3">
        <v>0.74029999999999996</v>
      </c>
      <c r="S9" s="3">
        <v>0.71509999999999996</v>
      </c>
      <c r="T9" s="3">
        <v>0.754</v>
      </c>
      <c r="U9" s="3">
        <v>0.75109999999999999</v>
      </c>
      <c r="V9" s="3">
        <v>0.71440000000000003</v>
      </c>
      <c r="W9" s="3">
        <v>0.74819999999999998</v>
      </c>
      <c r="X9" s="3">
        <v>0.74029999999999996</v>
      </c>
      <c r="Y9" s="3">
        <v>0.71509999999999996</v>
      </c>
    </row>
    <row r="10" spans="1:34" x14ac:dyDescent="0.25">
      <c r="A10" s="2">
        <v>400</v>
      </c>
      <c r="B10" s="3">
        <v>0.75529999999999997</v>
      </c>
      <c r="C10" s="3">
        <v>0.75529999999999997</v>
      </c>
      <c r="D10" s="3">
        <v>0.71589999999999998</v>
      </c>
      <c r="E10" s="3">
        <v>0.74960000000000004</v>
      </c>
      <c r="F10" s="3">
        <v>0.74750000000000005</v>
      </c>
      <c r="G10" s="3">
        <v>0.71799999999999997</v>
      </c>
      <c r="H10" s="3">
        <v>0.75539999999999996</v>
      </c>
      <c r="I10" s="3">
        <v>0.74819999999999998</v>
      </c>
      <c r="J10" s="3">
        <v>0.71509999999999996</v>
      </c>
      <c r="K10" s="3">
        <v>0.74960000000000004</v>
      </c>
      <c r="L10" s="3">
        <v>0.74750000000000005</v>
      </c>
      <c r="M10" s="3">
        <v>0.71579999999999999</v>
      </c>
      <c r="N10" s="3">
        <v>0.75539999999999996</v>
      </c>
      <c r="O10" s="3">
        <v>0.74819999999999998</v>
      </c>
      <c r="P10" s="3">
        <v>0.71650000000000003</v>
      </c>
      <c r="Q10" s="3">
        <v>0.74960000000000004</v>
      </c>
      <c r="R10" s="3">
        <v>0.74750000000000005</v>
      </c>
      <c r="S10" s="3">
        <v>0.71650000000000003</v>
      </c>
      <c r="T10" s="3">
        <v>0.75539999999999996</v>
      </c>
      <c r="U10" s="3">
        <v>0.74819999999999998</v>
      </c>
      <c r="V10" s="3">
        <v>0.71730000000000005</v>
      </c>
      <c r="W10" s="3">
        <v>0.74960000000000004</v>
      </c>
      <c r="X10" s="3">
        <v>0.74750000000000005</v>
      </c>
      <c r="Y10" s="3">
        <v>0.71579999999999999</v>
      </c>
    </row>
    <row r="11" spans="1:34" x14ac:dyDescent="0.25">
      <c r="A11" s="2">
        <v>450</v>
      </c>
      <c r="B11" s="3">
        <v>0.75239999999999996</v>
      </c>
      <c r="C11" s="3">
        <v>0.75180000000000002</v>
      </c>
      <c r="D11" s="3">
        <v>0.71589999999999998</v>
      </c>
      <c r="E11" s="3">
        <v>0.74590000000000001</v>
      </c>
      <c r="F11" s="3">
        <v>0.749</v>
      </c>
      <c r="G11" s="3">
        <v>0.7137</v>
      </c>
      <c r="H11" s="3">
        <v>0.75249999999999995</v>
      </c>
      <c r="I11" s="3">
        <v>0.75180000000000002</v>
      </c>
      <c r="J11" s="3">
        <v>0.71579999999999999</v>
      </c>
      <c r="K11" s="3">
        <v>0.746</v>
      </c>
      <c r="L11" s="3">
        <v>0.74890000000000001</v>
      </c>
      <c r="M11" s="3">
        <v>0.71870000000000001</v>
      </c>
      <c r="N11" s="3">
        <v>0.75249999999999995</v>
      </c>
      <c r="O11" s="3">
        <v>0.75180000000000002</v>
      </c>
      <c r="P11" s="3">
        <v>0.71730000000000005</v>
      </c>
      <c r="Q11" s="3">
        <v>0.746</v>
      </c>
      <c r="R11" s="3">
        <v>0.74890000000000001</v>
      </c>
      <c r="S11" s="3">
        <v>0.71730000000000005</v>
      </c>
      <c r="T11" s="3">
        <v>0.75249999999999995</v>
      </c>
      <c r="U11" s="3">
        <v>0.75180000000000002</v>
      </c>
      <c r="V11" s="3">
        <v>0.71940000000000004</v>
      </c>
      <c r="W11" s="3">
        <v>0.746</v>
      </c>
      <c r="X11" s="3">
        <v>0.74890000000000001</v>
      </c>
      <c r="Y11" s="3">
        <v>0.71730000000000005</v>
      </c>
    </row>
    <row r="12" spans="1:34" x14ac:dyDescent="0.25">
      <c r="A12" s="2">
        <v>500</v>
      </c>
      <c r="B12" s="3">
        <v>0.75170000000000003</v>
      </c>
      <c r="C12" s="3">
        <v>0.75109999999999999</v>
      </c>
      <c r="D12" s="3">
        <v>0.71519999999999995</v>
      </c>
      <c r="E12" s="3">
        <v>0.74880000000000002</v>
      </c>
      <c r="F12" s="3">
        <v>0.749</v>
      </c>
      <c r="G12" s="3">
        <v>0.7137</v>
      </c>
      <c r="H12" s="3">
        <v>0.75180000000000002</v>
      </c>
      <c r="I12" s="3">
        <v>0.75109999999999999</v>
      </c>
      <c r="J12" s="3">
        <v>0.71579999999999999</v>
      </c>
      <c r="K12" s="3">
        <v>0.74890000000000001</v>
      </c>
      <c r="L12" s="3">
        <v>0.74890000000000001</v>
      </c>
      <c r="M12" s="3">
        <v>0.71650000000000003</v>
      </c>
      <c r="N12" s="3">
        <v>0.75180000000000002</v>
      </c>
      <c r="O12" s="3">
        <v>0.75109999999999999</v>
      </c>
      <c r="P12" s="3">
        <v>0.71440000000000003</v>
      </c>
      <c r="Q12" s="3">
        <v>0.74890000000000001</v>
      </c>
      <c r="R12" s="3">
        <v>0.74890000000000001</v>
      </c>
      <c r="S12" s="3">
        <v>0.71509999999999996</v>
      </c>
      <c r="T12" s="3">
        <v>0.75180000000000002</v>
      </c>
      <c r="U12" s="3">
        <v>0.75109999999999999</v>
      </c>
      <c r="V12" s="3">
        <v>0.71650000000000003</v>
      </c>
      <c r="W12" s="3">
        <v>0.74890000000000001</v>
      </c>
      <c r="X12" s="3">
        <v>0.74890000000000001</v>
      </c>
      <c r="Y12" s="3">
        <v>0.71440000000000003</v>
      </c>
    </row>
    <row r="13" spans="1:34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34" x14ac:dyDescent="0.25">
      <c r="A14" s="2" t="s">
        <v>8</v>
      </c>
      <c r="B14" s="14" t="s">
        <v>0</v>
      </c>
      <c r="C14" s="14"/>
      <c r="D14" s="14"/>
      <c r="E14" s="14"/>
      <c r="F14" s="14"/>
      <c r="G14" s="14"/>
      <c r="H14" s="14" t="s">
        <v>1</v>
      </c>
      <c r="I14" s="14"/>
      <c r="J14" s="14"/>
      <c r="K14" s="14"/>
      <c r="L14" s="14"/>
      <c r="M14" s="14"/>
      <c r="N14" s="14" t="s">
        <v>5</v>
      </c>
      <c r="O14" s="14"/>
      <c r="P14" s="14"/>
      <c r="Q14" s="14"/>
      <c r="R14" s="14"/>
      <c r="S14" s="14"/>
      <c r="T14" s="14" t="s">
        <v>6</v>
      </c>
      <c r="U14" s="14"/>
      <c r="V14" s="14"/>
      <c r="W14" s="14"/>
      <c r="X14" s="14"/>
      <c r="Y14" s="14"/>
    </row>
    <row r="15" spans="1:34" x14ac:dyDescent="0.25">
      <c r="A15" s="2"/>
      <c r="B15" s="2" t="s">
        <v>2</v>
      </c>
      <c r="C15" s="2" t="s">
        <v>3</v>
      </c>
      <c r="D15" s="2" t="s">
        <v>4</v>
      </c>
      <c r="E15" s="5" t="s">
        <v>2</v>
      </c>
      <c r="F15" s="2" t="s">
        <v>3</v>
      </c>
      <c r="G15" s="2" t="s">
        <v>4</v>
      </c>
      <c r="H15" s="2" t="s">
        <v>2</v>
      </c>
      <c r="I15" s="2" t="s">
        <v>3</v>
      </c>
      <c r="J15" s="2" t="s">
        <v>4</v>
      </c>
      <c r="K15" s="5" t="s">
        <v>2</v>
      </c>
      <c r="L15" s="2" t="s">
        <v>3</v>
      </c>
      <c r="M15" s="2" t="s">
        <v>4</v>
      </c>
      <c r="N15" s="2" t="s">
        <v>2</v>
      </c>
      <c r="O15" s="2" t="s">
        <v>3</v>
      </c>
      <c r="P15" s="2" t="s">
        <v>4</v>
      </c>
      <c r="Q15" s="5" t="s">
        <v>2</v>
      </c>
      <c r="R15" s="2" t="s">
        <v>3</v>
      </c>
      <c r="S15" s="2" t="s">
        <v>4</v>
      </c>
      <c r="T15" s="2" t="s">
        <v>2</v>
      </c>
      <c r="U15" s="2" t="s">
        <v>3</v>
      </c>
      <c r="V15" s="2" t="s">
        <v>4</v>
      </c>
      <c r="W15" s="5" t="s">
        <v>2</v>
      </c>
      <c r="X15" s="2" t="s">
        <v>3</v>
      </c>
      <c r="Y15" s="2" t="s">
        <v>4</v>
      </c>
    </row>
    <row r="16" spans="1:34" x14ac:dyDescent="0.25">
      <c r="A16" s="2"/>
      <c r="B16" s="14">
        <v>0.9</v>
      </c>
      <c r="C16" s="14"/>
      <c r="D16" s="14"/>
      <c r="E16" s="14">
        <v>0.5</v>
      </c>
      <c r="F16" s="14"/>
      <c r="G16" s="14"/>
      <c r="H16" s="14">
        <v>0.9</v>
      </c>
      <c r="I16" s="14"/>
      <c r="J16" s="14"/>
      <c r="K16" s="14">
        <v>0.5</v>
      </c>
      <c r="L16" s="14"/>
      <c r="M16" s="14"/>
      <c r="N16" s="14">
        <v>0.9</v>
      </c>
      <c r="O16" s="14"/>
      <c r="P16" s="14"/>
      <c r="Q16" s="14">
        <v>0.5</v>
      </c>
      <c r="R16" s="14"/>
      <c r="S16" s="14"/>
      <c r="T16" s="14">
        <v>0.9</v>
      </c>
      <c r="U16" s="14"/>
      <c r="V16" s="14"/>
      <c r="W16" s="14">
        <v>0.5</v>
      </c>
      <c r="X16" s="14"/>
      <c r="Y16" s="14"/>
    </row>
    <row r="17" spans="1:25" x14ac:dyDescent="0.25">
      <c r="A17" s="2">
        <v>100</v>
      </c>
      <c r="B17" s="3">
        <v>0.74460000000000004</v>
      </c>
      <c r="C17" s="3">
        <v>0.74170000000000003</v>
      </c>
      <c r="D17" s="3">
        <v>0.7288</v>
      </c>
      <c r="E17" s="3">
        <v>0.73380000000000001</v>
      </c>
      <c r="F17" s="3">
        <v>0.73240000000000005</v>
      </c>
      <c r="G17" s="3">
        <v>0.72809999999999997</v>
      </c>
      <c r="H17" s="3">
        <v>0.74460000000000004</v>
      </c>
      <c r="I17" s="3">
        <v>0.74180000000000001</v>
      </c>
      <c r="J17" s="3">
        <v>0.7288</v>
      </c>
      <c r="K17" s="3">
        <v>0.73380000000000001</v>
      </c>
      <c r="L17" s="3">
        <v>0.73240000000000005</v>
      </c>
      <c r="M17" s="3">
        <v>0.73019999999999996</v>
      </c>
      <c r="N17" s="3">
        <v>0.74450000000000005</v>
      </c>
      <c r="O17" s="3">
        <v>0.74180000000000001</v>
      </c>
      <c r="P17" s="3">
        <v>0.73019999999999996</v>
      </c>
      <c r="Q17" s="3">
        <v>0.73380000000000001</v>
      </c>
      <c r="R17" s="3">
        <v>0.73240000000000005</v>
      </c>
      <c r="S17" s="3">
        <v>0.73019999999999996</v>
      </c>
      <c r="T17" s="3">
        <v>0.74450000000000005</v>
      </c>
      <c r="U17" s="3">
        <v>0.74180000000000001</v>
      </c>
      <c r="V17" s="3">
        <v>0.72589999999999999</v>
      </c>
      <c r="W17" s="3">
        <v>0.73380000000000001</v>
      </c>
      <c r="X17" s="3">
        <v>0.73240000000000005</v>
      </c>
      <c r="Y17" s="3">
        <v>0.7288</v>
      </c>
    </row>
    <row r="18" spans="1:25" x14ac:dyDescent="0.25">
      <c r="A18" s="2">
        <v>150</v>
      </c>
      <c r="B18" s="3">
        <v>0.75039999999999996</v>
      </c>
      <c r="C18" s="3">
        <v>0.74529999999999996</v>
      </c>
      <c r="D18" s="3">
        <v>0.72589999999999999</v>
      </c>
      <c r="E18" s="3">
        <v>0.74529999999999996</v>
      </c>
      <c r="F18" s="3">
        <v>0.73450000000000004</v>
      </c>
      <c r="G18" s="3">
        <v>0.72519999999999996</v>
      </c>
      <c r="H18" s="3">
        <v>0.75029999999999997</v>
      </c>
      <c r="I18" s="3">
        <v>0.74529999999999996</v>
      </c>
      <c r="J18" s="3">
        <v>0.72450000000000003</v>
      </c>
      <c r="K18" s="3">
        <v>0.74519999999999997</v>
      </c>
      <c r="L18" s="3">
        <v>0.73450000000000004</v>
      </c>
      <c r="M18" s="3">
        <v>0.72160000000000002</v>
      </c>
      <c r="N18" s="3">
        <v>0.75029999999999997</v>
      </c>
      <c r="O18" s="3">
        <v>0.74529999999999996</v>
      </c>
      <c r="P18" s="3">
        <v>0.72089999999999999</v>
      </c>
      <c r="Q18" s="3">
        <v>0.74519999999999997</v>
      </c>
      <c r="R18" s="3">
        <v>0.73450000000000004</v>
      </c>
      <c r="S18" s="3">
        <v>0.7238</v>
      </c>
      <c r="T18" s="3">
        <v>0.75029999999999997</v>
      </c>
      <c r="U18" s="3">
        <v>0.74529999999999996</v>
      </c>
      <c r="V18" s="3">
        <v>0.72450000000000003</v>
      </c>
      <c r="W18" s="3">
        <v>0.74519999999999997</v>
      </c>
      <c r="X18" s="3">
        <v>0.73450000000000004</v>
      </c>
      <c r="Y18" s="3">
        <v>0.72299999999999998</v>
      </c>
    </row>
    <row r="19" spans="1:25" x14ac:dyDescent="0.25">
      <c r="A19" s="5">
        <v>200</v>
      </c>
      <c r="B19" s="3">
        <v>0.75470000000000004</v>
      </c>
      <c r="C19" s="3">
        <v>0.74680000000000002</v>
      </c>
      <c r="D19" s="3">
        <v>0.72230000000000005</v>
      </c>
      <c r="E19" s="4">
        <v>0.75970000000000004</v>
      </c>
      <c r="F19" s="3">
        <v>0.74239999999999995</v>
      </c>
      <c r="G19" s="3">
        <v>0.72299999999999998</v>
      </c>
      <c r="H19" s="3">
        <v>0.75460000000000005</v>
      </c>
      <c r="I19" s="3">
        <v>0.74680000000000002</v>
      </c>
      <c r="J19" s="3">
        <v>0.7238</v>
      </c>
      <c r="K19" s="4">
        <v>0.75970000000000004</v>
      </c>
      <c r="L19" s="3">
        <v>0.74250000000000005</v>
      </c>
      <c r="M19" s="3">
        <v>0.72450000000000003</v>
      </c>
      <c r="N19" s="3">
        <v>0.75460000000000005</v>
      </c>
      <c r="O19" s="3">
        <v>0.74680000000000002</v>
      </c>
      <c r="P19" s="3">
        <v>0.72299999999999998</v>
      </c>
      <c r="Q19" s="4">
        <v>0.75970000000000004</v>
      </c>
      <c r="R19" s="3">
        <v>0.74250000000000005</v>
      </c>
      <c r="S19" s="3">
        <v>0.72230000000000005</v>
      </c>
      <c r="T19" s="3">
        <v>0.75460000000000005</v>
      </c>
      <c r="U19" s="3">
        <v>0.74680000000000002</v>
      </c>
      <c r="V19" s="3">
        <v>0.72299999999999998</v>
      </c>
      <c r="W19" s="4">
        <v>0.75970000000000004</v>
      </c>
      <c r="X19" s="3">
        <v>0.74250000000000005</v>
      </c>
      <c r="Y19" s="3">
        <v>0.72299999999999998</v>
      </c>
    </row>
    <row r="20" spans="1:25" x14ac:dyDescent="0.25">
      <c r="A20" s="2">
        <v>250</v>
      </c>
      <c r="B20" s="3">
        <v>0.754</v>
      </c>
      <c r="C20" s="3">
        <v>0.74819999999999998</v>
      </c>
      <c r="D20" s="3">
        <v>0.72230000000000005</v>
      </c>
      <c r="E20" s="3">
        <v>0.74819999999999998</v>
      </c>
      <c r="F20" s="3">
        <v>0.74239999999999995</v>
      </c>
      <c r="G20" s="3">
        <v>0.72299999999999998</v>
      </c>
      <c r="H20" s="3">
        <v>0.75390000000000001</v>
      </c>
      <c r="I20" s="3">
        <v>0.74819999999999998</v>
      </c>
      <c r="J20" s="3">
        <v>0.72309999999999997</v>
      </c>
      <c r="K20" s="3">
        <v>0.74819999999999998</v>
      </c>
      <c r="L20" s="3">
        <v>0.74250000000000005</v>
      </c>
      <c r="M20" s="3">
        <v>0.7238</v>
      </c>
      <c r="N20" s="3">
        <v>0.75390000000000001</v>
      </c>
      <c r="O20" s="3">
        <v>0.74819999999999998</v>
      </c>
      <c r="P20" s="3">
        <v>0.72309999999999997</v>
      </c>
      <c r="Q20" s="3">
        <v>0.74819999999999998</v>
      </c>
      <c r="R20" s="3">
        <v>0.74250000000000005</v>
      </c>
      <c r="S20" s="3">
        <v>0.72309999999999997</v>
      </c>
      <c r="T20" s="3">
        <v>0.75390000000000001</v>
      </c>
      <c r="U20" s="3">
        <v>0.74819999999999998</v>
      </c>
      <c r="V20" s="3">
        <v>0.72450000000000003</v>
      </c>
      <c r="W20" s="3">
        <v>0.74819999999999998</v>
      </c>
      <c r="X20" s="3">
        <v>0.74250000000000005</v>
      </c>
      <c r="Y20" s="3">
        <v>0.72309999999999997</v>
      </c>
    </row>
    <row r="21" spans="1:25" x14ac:dyDescent="0.25">
      <c r="A21" s="2">
        <v>300</v>
      </c>
      <c r="B21" s="3">
        <v>0.75470000000000004</v>
      </c>
      <c r="C21" s="3">
        <v>0.74819999999999998</v>
      </c>
      <c r="D21" s="3">
        <v>0.71940000000000004</v>
      </c>
      <c r="E21" s="3">
        <v>0.75180000000000002</v>
      </c>
      <c r="F21" s="3">
        <v>0.74239999999999995</v>
      </c>
      <c r="G21" s="3">
        <v>0.72009999999999996</v>
      </c>
      <c r="H21" s="3">
        <v>0.75460000000000005</v>
      </c>
      <c r="I21" s="3">
        <v>0.74819999999999998</v>
      </c>
      <c r="J21" s="3">
        <v>0.71870000000000001</v>
      </c>
      <c r="K21" s="3">
        <v>0.75170000000000003</v>
      </c>
      <c r="L21" s="3">
        <v>0.74250000000000005</v>
      </c>
      <c r="M21" s="3">
        <v>0.71870000000000001</v>
      </c>
      <c r="N21" s="3">
        <v>0.75460000000000005</v>
      </c>
      <c r="O21" s="3">
        <v>0.74819999999999998</v>
      </c>
      <c r="P21" s="3">
        <v>0.71799999999999997</v>
      </c>
      <c r="Q21" s="3">
        <v>0.75170000000000003</v>
      </c>
      <c r="R21" s="3">
        <v>0.74250000000000005</v>
      </c>
      <c r="S21" s="3">
        <v>0.72019999999999995</v>
      </c>
      <c r="T21" s="3">
        <v>0.75460000000000005</v>
      </c>
      <c r="U21" s="3">
        <v>0.74819999999999998</v>
      </c>
      <c r="V21" s="3">
        <v>0.72019999999999995</v>
      </c>
      <c r="W21" s="3">
        <v>0.75170000000000003</v>
      </c>
      <c r="X21" s="3">
        <v>0.74250000000000005</v>
      </c>
      <c r="Y21" s="3">
        <v>0.72089999999999999</v>
      </c>
    </row>
    <row r="22" spans="1:25" x14ac:dyDescent="0.25">
      <c r="A22" s="2">
        <v>350</v>
      </c>
      <c r="B22" s="3">
        <v>0.754</v>
      </c>
      <c r="C22" s="3">
        <v>0.75109999999999999</v>
      </c>
      <c r="D22" s="3">
        <v>0.71650000000000003</v>
      </c>
      <c r="E22" s="3">
        <v>0.74819999999999998</v>
      </c>
      <c r="F22" s="3">
        <v>0.74029999999999996</v>
      </c>
      <c r="G22" s="3">
        <v>0.71509999999999996</v>
      </c>
      <c r="H22" s="3">
        <v>0.75380000000000003</v>
      </c>
      <c r="I22" s="3">
        <v>0.75109999999999999</v>
      </c>
      <c r="J22" s="3">
        <v>0.71299999999999997</v>
      </c>
      <c r="K22" s="3">
        <v>0.74809999999999999</v>
      </c>
      <c r="L22" s="3">
        <v>0.74029999999999996</v>
      </c>
      <c r="M22" s="3">
        <v>0.71579999999999999</v>
      </c>
      <c r="N22" s="3">
        <v>0.75380000000000003</v>
      </c>
      <c r="O22" s="3">
        <v>0.75109999999999999</v>
      </c>
      <c r="P22" s="3">
        <v>0.71440000000000003</v>
      </c>
      <c r="Q22" s="3">
        <v>0.74809999999999999</v>
      </c>
      <c r="R22" s="3">
        <v>0.74029999999999996</v>
      </c>
      <c r="S22" s="3">
        <v>0.71519999999999995</v>
      </c>
      <c r="T22" s="3">
        <v>0.75380000000000003</v>
      </c>
      <c r="U22" s="3">
        <v>0.75109999999999999</v>
      </c>
      <c r="V22" s="3">
        <v>0.71440000000000003</v>
      </c>
      <c r="W22" s="3">
        <v>0.74809999999999999</v>
      </c>
      <c r="X22" s="3">
        <v>0.74029999999999996</v>
      </c>
      <c r="Y22" s="3">
        <v>0.71519999999999995</v>
      </c>
    </row>
    <row r="23" spans="1:25" x14ac:dyDescent="0.25">
      <c r="A23" s="2">
        <v>400</v>
      </c>
      <c r="B23" s="3">
        <v>0.75539999999999996</v>
      </c>
      <c r="C23" s="3">
        <v>0.74819999999999998</v>
      </c>
      <c r="D23" s="3">
        <v>0.71579999999999999</v>
      </c>
      <c r="E23" s="3">
        <v>0.74960000000000004</v>
      </c>
      <c r="F23" s="3">
        <v>0.74750000000000005</v>
      </c>
      <c r="G23" s="3">
        <v>0.71799999999999997</v>
      </c>
      <c r="H23" s="3">
        <v>0.75529999999999997</v>
      </c>
      <c r="I23" s="3">
        <v>0.74819999999999998</v>
      </c>
      <c r="J23" s="3">
        <v>0.71509999999999996</v>
      </c>
      <c r="K23" s="3">
        <v>0.74960000000000004</v>
      </c>
      <c r="L23" s="3">
        <v>0.74750000000000005</v>
      </c>
      <c r="M23" s="3">
        <v>0.71579999999999999</v>
      </c>
      <c r="N23" s="3">
        <v>0.75529999999999997</v>
      </c>
      <c r="O23" s="3">
        <v>0.74819999999999998</v>
      </c>
      <c r="P23" s="3">
        <v>0.71660000000000001</v>
      </c>
      <c r="Q23" s="3">
        <v>0.74960000000000004</v>
      </c>
      <c r="R23" s="3">
        <v>0.74750000000000005</v>
      </c>
      <c r="S23" s="3">
        <v>0.71660000000000001</v>
      </c>
      <c r="T23" s="3">
        <v>0.75529999999999997</v>
      </c>
      <c r="U23" s="3">
        <v>0.74819999999999998</v>
      </c>
      <c r="V23" s="3">
        <v>0.71730000000000005</v>
      </c>
      <c r="W23" s="3">
        <v>0.74960000000000004</v>
      </c>
      <c r="X23" s="3">
        <v>0.74750000000000005</v>
      </c>
      <c r="Y23" s="3">
        <v>0.71589999999999998</v>
      </c>
    </row>
    <row r="24" spans="1:25" x14ac:dyDescent="0.25">
      <c r="A24" s="2">
        <v>450</v>
      </c>
      <c r="B24" s="3">
        <v>0.75249999999999995</v>
      </c>
      <c r="C24" s="3">
        <v>0.75180000000000002</v>
      </c>
      <c r="D24" s="3">
        <v>0.71579999999999999</v>
      </c>
      <c r="E24" s="3">
        <v>0.746</v>
      </c>
      <c r="F24" s="3">
        <v>0.74890000000000001</v>
      </c>
      <c r="G24" s="3">
        <v>0.7137</v>
      </c>
      <c r="H24" s="3">
        <v>0.75239999999999996</v>
      </c>
      <c r="I24" s="3">
        <v>0.75180000000000002</v>
      </c>
      <c r="J24" s="3">
        <v>0.71589999999999998</v>
      </c>
      <c r="K24" s="3">
        <v>0.74590000000000001</v>
      </c>
      <c r="L24" s="3">
        <v>0.749</v>
      </c>
      <c r="M24" s="3">
        <v>0.71870000000000001</v>
      </c>
      <c r="N24" s="3">
        <v>0.75239999999999996</v>
      </c>
      <c r="O24" s="3">
        <v>0.75180000000000002</v>
      </c>
      <c r="P24" s="3">
        <v>0.71730000000000005</v>
      </c>
      <c r="Q24" s="3">
        <v>0.74590000000000001</v>
      </c>
      <c r="R24" s="3">
        <v>0.74890000000000001</v>
      </c>
      <c r="S24" s="3">
        <v>0.71730000000000005</v>
      </c>
      <c r="T24" s="3">
        <v>0.75239999999999996</v>
      </c>
      <c r="U24" s="3">
        <v>0.75180000000000002</v>
      </c>
      <c r="V24" s="3">
        <v>0.71950000000000003</v>
      </c>
      <c r="W24" s="3">
        <v>0.74590000000000001</v>
      </c>
      <c r="X24" s="3">
        <v>0.74890000000000001</v>
      </c>
      <c r="Y24" s="3">
        <v>0.71730000000000005</v>
      </c>
    </row>
    <row r="25" spans="1:25" x14ac:dyDescent="0.25">
      <c r="A25" s="2">
        <v>500</v>
      </c>
      <c r="B25" s="3">
        <v>0.75180000000000002</v>
      </c>
      <c r="C25" s="3">
        <v>0.75109999999999999</v>
      </c>
      <c r="D25" s="3">
        <v>0.71509999999999996</v>
      </c>
      <c r="E25" s="3">
        <v>0.74890000000000001</v>
      </c>
      <c r="F25" s="3">
        <v>0.74890000000000001</v>
      </c>
      <c r="G25" s="3">
        <v>0.7137</v>
      </c>
      <c r="H25" s="3">
        <v>0.75170000000000003</v>
      </c>
      <c r="I25" s="3">
        <v>0.75109999999999999</v>
      </c>
      <c r="J25" s="3">
        <v>0.71589999999999998</v>
      </c>
      <c r="K25" s="3">
        <v>0.74880000000000002</v>
      </c>
      <c r="L25" s="3">
        <v>0.749</v>
      </c>
      <c r="M25" s="3">
        <v>0.71660000000000001</v>
      </c>
      <c r="N25" s="3">
        <v>0.75170000000000003</v>
      </c>
      <c r="O25" s="3">
        <v>0.75109999999999999</v>
      </c>
      <c r="P25" s="3">
        <v>0.71440000000000003</v>
      </c>
      <c r="Q25" s="3">
        <v>0.74880000000000002</v>
      </c>
      <c r="R25" s="3">
        <v>0.749</v>
      </c>
      <c r="S25" s="3">
        <v>0.71509999999999996</v>
      </c>
      <c r="T25" s="3">
        <v>0.75170000000000003</v>
      </c>
      <c r="U25" s="3">
        <v>0.75109999999999999</v>
      </c>
      <c r="V25" s="3">
        <v>0.71660000000000001</v>
      </c>
      <c r="W25" s="3">
        <v>0.74880000000000002</v>
      </c>
      <c r="X25" s="3">
        <v>0.749</v>
      </c>
      <c r="Y25" s="3">
        <v>0.71440000000000003</v>
      </c>
    </row>
    <row r="29" spans="1:25" x14ac:dyDescent="0.25">
      <c r="C29">
        <f>LARGE(B4:Y12,1)</f>
        <v>0.75970000000000004</v>
      </c>
      <c r="D29">
        <f>LARGE(B17:Y25,1)</f>
        <v>0.75970000000000004</v>
      </c>
    </row>
    <row r="30" spans="1:25" x14ac:dyDescent="0.25">
      <c r="C30">
        <f>LARGE(B4:Y12,2)</f>
        <v>0.75970000000000004</v>
      </c>
      <c r="D30">
        <f>LARGE(B17:Y25,2)</f>
        <v>0.75970000000000004</v>
      </c>
    </row>
    <row r="31" spans="1:25" x14ac:dyDescent="0.25">
      <c r="C31">
        <f>LARGE(B4:Y12,3)</f>
        <v>0.75970000000000004</v>
      </c>
      <c r="D31">
        <f>LARGE(B17:Y25,3)</f>
        <v>0.75970000000000004</v>
      </c>
    </row>
    <row r="32" spans="1:25" x14ac:dyDescent="0.25">
      <c r="C32">
        <f>LARGE(B4:Y12,4)</f>
        <v>0.75970000000000004</v>
      </c>
      <c r="D32">
        <f>LARGE(B17:Y25,4)</f>
        <v>0.75970000000000004</v>
      </c>
    </row>
    <row r="33" spans="3:4" x14ac:dyDescent="0.25">
      <c r="C33">
        <f>LARGE(B4:Y12,5)</f>
        <v>0.75539999999999996</v>
      </c>
      <c r="D33">
        <f>LARGE(B17:Y25,5)</f>
        <v>0.75539999999999996</v>
      </c>
    </row>
    <row r="34" spans="3:4" x14ac:dyDescent="0.25">
      <c r="C34">
        <f>LARGE(B4:Y12,6)</f>
        <v>0.75539999999999996</v>
      </c>
      <c r="D34">
        <f>LARGE(B17:Y25,6)</f>
        <v>0.75529999999999997</v>
      </c>
    </row>
    <row r="35" spans="3:4" x14ac:dyDescent="0.25">
      <c r="C35">
        <f>LARGE(B4:Y12,7)</f>
        <v>0.75539999999999996</v>
      </c>
      <c r="D35">
        <f>LARGE(B17:Y25,7)</f>
        <v>0.75529999999999997</v>
      </c>
    </row>
    <row r="36" spans="3:4" x14ac:dyDescent="0.25">
      <c r="C36">
        <f>LARGE(B4:Y12,8)</f>
        <v>0.75529999999999997</v>
      </c>
      <c r="D36">
        <f>LARGE(B17:Y25,8)</f>
        <v>0.75529999999999997</v>
      </c>
    </row>
    <row r="37" spans="3:4" x14ac:dyDescent="0.25">
      <c r="C37">
        <f>LARGE(B4:Y12,9)</f>
        <v>0.75529999999999997</v>
      </c>
      <c r="D37">
        <f>LARGE(B17:Y25,9)</f>
        <v>0.75470000000000004</v>
      </c>
    </row>
    <row r="38" spans="3:4" x14ac:dyDescent="0.25">
      <c r="C38">
        <f>LARGE(B4:Y12,10)</f>
        <v>0.75470000000000004</v>
      </c>
      <c r="D38">
        <f>LARGE(B17:Y25,10)</f>
        <v>0.75470000000000004</v>
      </c>
    </row>
  </sheetData>
  <mergeCells count="28">
    <mergeCell ref="T16:V16"/>
    <mergeCell ref="W16:Y16"/>
    <mergeCell ref="B14:G14"/>
    <mergeCell ref="H14:M14"/>
    <mergeCell ref="B1:G1"/>
    <mergeCell ref="H1:M1"/>
    <mergeCell ref="N1:S1"/>
    <mergeCell ref="B3:D3"/>
    <mergeCell ref="E3:G3"/>
    <mergeCell ref="H3:J3"/>
    <mergeCell ref="K3:M3"/>
    <mergeCell ref="N3:P3"/>
    <mergeCell ref="AA1:AB1"/>
    <mergeCell ref="AC1:AD1"/>
    <mergeCell ref="AE1:AF1"/>
    <mergeCell ref="AG1:AH1"/>
    <mergeCell ref="B16:D16"/>
    <mergeCell ref="T1:Y1"/>
    <mergeCell ref="T14:Y14"/>
    <mergeCell ref="E16:G16"/>
    <mergeCell ref="H16:J16"/>
    <mergeCell ref="K16:M16"/>
    <mergeCell ref="Q3:S3"/>
    <mergeCell ref="T3:V3"/>
    <mergeCell ref="W3:Y3"/>
    <mergeCell ref="N14:S14"/>
    <mergeCell ref="N16:P16"/>
    <mergeCell ref="Q16:S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45E5-4BB2-4EDF-B86A-E33C86AFF846}">
  <dimension ref="A1:AK34"/>
  <sheetViews>
    <sheetView topLeftCell="P20" zoomScale="71" zoomScaleNormal="124" workbookViewId="0">
      <selection activeCell="A17" sqref="A17"/>
    </sheetView>
  </sheetViews>
  <sheetFormatPr defaultRowHeight="15" x14ac:dyDescent="0.25"/>
  <cols>
    <col min="1" max="1" width="8.28515625" bestFit="1" customWidth="1"/>
    <col min="2" max="37" width="12" bestFit="1" customWidth="1"/>
  </cols>
  <sheetData>
    <row r="1" spans="1:37" x14ac:dyDescent="0.25">
      <c r="A1" s="2" t="s">
        <v>7</v>
      </c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 t="s">
        <v>1</v>
      </c>
      <c r="L1" s="14"/>
      <c r="M1" s="14"/>
      <c r="N1" s="14"/>
      <c r="O1" s="14"/>
      <c r="P1" s="14"/>
      <c r="Q1" s="14"/>
      <c r="R1" s="14"/>
      <c r="S1" s="14"/>
      <c r="T1" s="14" t="s">
        <v>5</v>
      </c>
      <c r="U1" s="14"/>
      <c r="V1" s="14"/>
      <c r="W1" s="14"/>
      <c r="X1" s="14"/>
      <c r="Y1" s="14"/>
      <c r="Z1" s="14"/>
      <c r="AA1" s="14"/>
      <c r="AB1" s="14"/>
      <c r="AC1" s="14" t="s">
        <v>6</v>
      </c>
      <c r="AD1" s="14"/>
      <c r="AE1" s="14"/>
      <c r="AF1" s="14"/>
      <c r="AG1" s="14"/>
      <c r="AH1" s="14"/>
    </row>
    <row r="2" spans="1:37" x14ac:dyDescent="0.25">
      <c r="A2" s="2"/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  <c r="Q2" s="2" t="s">
        <v>2</v>
      </c>
      <c r="R2" s="2" t="s">
        <v>3</v>
      </c>
      <c r="S2" s="2" t="s">
        <v>4</v>
      </c>
      <c r="T2" s="2" t="s">
        <v>2</v>
      </c>
      <c r="U2" s="2" t="s">
        <v>3</v>
      </c>
      <c r="V2" s="2" t="s">
        <v>4</v>
      </c>
      <c r="W2" s="2" t="s">
        <v>2</v>
      </c>
      <c r="X2" s="2" t="s">
        <v>3</v>
      </c>
      <c r="Y2" s="2" t="s">
        <v>4</v>
      </c>
      <c r="Z2" s="2" t="s">
        <v>2</v>
      </c>
      <c r="AA2" s="2" t="s">
        <v>3</v>
      </c>
      <c r="AB2" s="2" t="s">
        <v>4</v>
      </c>
      <c r="AC2" s="2" t="s">
        <v>2</v>
      </c>
      <c r="AD2" s="2" t="s">
        <v>3</v>
      </c>
      <c r="AE2" s="2" t="s">
        <v>4</v>
      </c>
      <c r="AF2" s="2" t="s">
        <v>2</v>
      </c>
      <c r="AG2" s="2" t="s">
        <v>3</v>
      </c>
      <c r="AH2" s="2" t="s">
        <v>4</v>
      </c>
      <c r="AI2" s="2" t="s">
        <v>2</v>
      </c>
      <c r="AJ2" s="2" t="s">
        <v>3</v>
      </c>
      <c r="AK2" s="2" t="s">
        <v>4</v>
      </c>
    </row>
    <row r="3" spans="1:37" x14ac:dyDescent="0.25">
      <c r="A3" s="2"/>
      <c r="B3" s="14">
        <v>0.9</v>
      </c>
      <c r="C3" s="14"/>
      <c r="D3" s="14"/>
      <c r="E3" s="14">
        <v>0.5</v>
      </c>
      <c r="F3" s="14"/>
      <c r="G3" s="14"/>
      <c r="H3" s="14">
        <v>0.1</v>
      </c>
      <c r="I3" s="14"/>
      <c r="J3" s="14"/>
      <c r="K3" s="14">
        <v>0.9</v>
      </c>
      <c r="L3" s="14"/>
      <c r="M3" s="14"/>
      <c r="N3" s="14">
        <v>0.5</v>
      </c>
      <c r="O3" s="14"/>
      <c r="P3" s="14"/>
      <c r="Q3" s="14">
        <v>0.1</v>
      </c>
      <c r="R3" s="14"/>
      <c r="S3" s="14"/>
      <c r="T3" s="14">
        <v>0.9</v>
      </c>
      <c r="U3" s="14"/>
      <c r="V3" s="14"/>
      <c r="W3" s="14">
        <v>0.5</v>
      </c>
      <c r="X3" s="14"/>
      <c r="Y3" s="14"/>
      <c r="Z3" s="14">
        <v>0.1</v>
      </c>
      <c r="AA3" s="14"/>
      <c r="AB3" s="14"/>
      <c r="AC3" s="14">
        <v>0.9</v>
      </c>
      <c r="AD3" s="14"/>
      <c r="AE3" s="14"/>
      <c r="AF3" s="14">
        <v>0.5</v>
      </c>
      <c r="AG3" s="14"/>
      <c r="AH3" s="14"/>
      <c r="AI3" s="14">
        <v>0.1</v>
      </c>
      <c r="AJ3" s="14"/>
      <c r="AK3" s="14"/>
    </row>
    <row r="4" spans="1:37" x14ac:dyDescent="0.25">
      <c r="A4" s="2">
        <v>100</v>
      </c>
      <c r="B4">
        <v>0.71964140179299096</v>
      </c>
      <c r="C4">
        <v>0.70986145069274653</v>
      </c>
      <c r="D4">
        <v>0.73023634881825594</v>
      </c>
      <c r="E4">
        <v>0.71638141809290956</v>
      </c>
      <c r="F4">
        <v>0.69600651996740015</v>
      </c>
      <c r="G4">
        <v>0.72942135289323551</v>
      </c>
      <c r="H4">
        <v>0.67644661776691117</v>
      </c>
      <c r="I4">
        <v>0.68133659331703345</v>
      </c>
      <c r="J4">
        <v>0.73105134474327627</v>
      </c>
      <c r="K4">
        <v>0.71964140179299108</v>
      </c>
      <c r="L4">
        <v>0.70986145069274653</v>
      </c>
      <c r="M4">
        <v>0.73023634881825594</v>
      </c>
      <c r="N4">
        <v>0.71638141809290956</v>
      </c>
      <c r="O4">
        <v>0.69600651996740015</v>
      </c>
      <c r="P4">
        <v>0.73105134474327627</v>
      </c>
      <c r="Q4">
        <v>0.67644661776691117</v>
      </c>
      <c r="R4">
        <v>0.68133659331703345</v>
      </c>
      <c r="S4">
        <v>0.73023634881825594</v>
      </c>
      <c r="T4">
        <v>0.71964140179299108</v>
      </c>
      <c r="U4">
        <v>0.70986145069274653</v>
      </c>
      <c r="V4">
        <v>0.73105134474327627</v>
      </c>
      <c r="W4">
        <v>0.71638141809290956</v>
      </c>
      <c r="X4">
        <v>0.69600651996740015</v>
      </c>
      <c r="Y4">
        <v>0.73105134474327627</v>
      </c>
      <c r="Z4">
        <v>0.67644661776691117</v>
      </c>
      <c r="AA4">
        <v>0.68133659331703345</v>
      </c>
      <c r="AB4">
        <v>0.7318663406682967</v>
      </c>
      <c r="AC4" s="10">
        <v>0.71964140179299108</v>
      </c>
      <c r="AD4" s="11">
        <v>0.70986145069274653</v>
      </c>
      <c r="AE4">
        <v>0.72942135289323551</v>
      </c>
      <c r="AF4" s="12">
        <v>0.71638141809290956</v>
      </c>
      <c r="AG4">
        <v>0.69600651996740015</v>
      </c>
      <c r="AH4">
        <v>0.73105134474327627</v>
      </c>
      <c r="AI4">
        <v>0.67644661776691117</v>
      </c>
      <c r="AJ4">
        <v>0.68133659331703345</v>
      </c>
      <c r="AK4">
        <v>0.73105134474327627</v>
      </c>
    </row>
    <row r="5" spans="1:37" x14ac:dyDescent="0.25">
      <c r="A5" s="2">
        <v>150</v>
      </c>
      <c r="B5">
        <v>0.71719641401792988</v>
      </c>
      <c r="C5">
        <v>0.7204563977180114</v>
      </c>
      <c r="D5">
        <v>0.73268133659331702</v>
      </c>
      <c r="E5">
        <v>0.71882640586797064</v>
      </c>
      <c r="F5">
        <v>0.70415647921760394</v>
      </c>
      <c r="G5">
        <v>0.73349633251833746</v>
      </c>
      <c r="H5">
        <v>0.68459657701711496</v>
      </c>
      <c r="I5">
        <v>0.6829665851670742</v>
      </c>
      <c r="J5">
        <v>0.73268133659331702</v>
      </c>
      <c r="K5">
        <v>0.71719641401792988</v>
      </c>
      <c r="L5">
        <v>0.7204563977180114</v>
      </c>
      <c r="M5">
        <v>0.73431132844335778</v>
      </c>
      <c r="N5">
        <v>0.71882640586797064</v>
      </c>
      <c r="O5">
        <v>0.70415647921760394</v>
      </c>
      <c r="P5">
        <v>0.73431132844335778</v>
      </c>
      <c r="Q5">
        <v>0.68459657701711496</v>
      </c>
      <c r="R5">
        <v>0.6829665851670742</v>
      </c>
      <c r="S5">
        <v>0.73349633251833746</v>
      </c>
      <c r="T5">
        <v>0.71719641401792988</v>
      </c>
      <c r="U5">
        <v>0.7204563977180114</v>
      </c>
      <c r="V5">
        <v>0.73349633251833746</v>
      </c>
      <c r="W5">
        <v>0.71882640586797064</v>
      </c>
      <c r="X5">
        <v>0.70415647921760394</v>
      </c>
      <c r="Y5">
        <v>0.73349633251833746</v>
      </c>
      <c r="Z5">
        <v>0.68459657701711496</v>
      </c>
      <c r="AA5">
        <v>0.6829665851670742</v>
      </c>
      <c r="AB5">
        <v>0.73349633251833746</v>
      </c>
      <c r="AC5" s="10">
        <v>0.71719641401792988</v>
      </c>
      <c r="AD5" s="11">
        <v>0.7204563977180114</v>
      </c>
      <c r="AE5">
        <v>0.73431132844335778</v>
      </c>
      <c r="AF5" s="12">
        <v>0.71882640586797064</v>
      </c>
      <c r="AG5">
        <v>0.70415647921760394</v>
      </c>
      <c r="AH5">
        <v>0.73349633251833746</v>
      </c>
      <c r="AI5">
        <v>0.68459657701711496</v>
      </c>
      <c r="AJ5">
        <v>0.6829665851670742</v>
      </c>
      <c r="AK5">
        <v>0.73349633251833746</v>
      </c>
    </row>
    <row r="6" spans="1:37" x14ac:dyDescent="0.25">
      <c r="A6" s="2">
        <v>200</v>
      </c>
      <c r="B6">
        <v>0.72208638956805216</v>
      </c>
      <c r="C6">
        <v>0.73431132844335778</v>
      </c>
      <c r="D6">
        <v>0.73268133659331702</v>
      </c>
      <c r="E6">
        <v>0.7318663406682967</v>
      </c>
      <c r="F6">
        <v>0.70578647106764469</v>
      </c>
      <c r="G6">
        <v>0.73349633251833746</v>
      </c>
      <c r="H6">
        <v>0.67481662591687042</v>
      </c>
      <c r="I6">
        <v>0.69682151589242058</v>
      </c>
      <c r="J6">
        <v>0.73268133659331702</v>
      </c>
      <c r="K6">
        <v>0.72208638956805216</v>
      </c>
      <c r="L6">
        <v>0.73431132844335778</v>
      </c>
      <c r="M6">
        <v>0.73431132844335778</v>
      </c>
      <c r="N6">
        <v>0.7318663406682967</v>
      </c>
      <c r="O6">
        <v>0.70578647106764469</v>
      </c>
      <c r="P6">
        <v>0.73349633251833746</v>
      </c>
      <c r="Q6">
        <v>0.67481662591687042</v>
      </c>
      <c r="R6">
        <v>0.69682151589242058</v>
      </c>
      <c r="S6">
        <v>0.73268133659331702</v>
      </c>
      <c r="T6">
        <v>0.72208638956805216</v>
      </c>
      <c r="U6">
        <v>0.73431132844335778</v>
      </c>
      <c r="V6">
        <v>0.73268133659331702</v>
      </c>
      <c r="W6">
        <v>0.7318663406682967</v>
      </c>
      <c r="X6">
        <v>0.70578647106764469</v>
      </c>
      <c r="Y6">
        <v>0.73268133659331702</v>
      </c>
      <c r="Z6">
        <v>0.67481662591687042</v>
      </c>
      <c r="AA6">
        <v>0.69682151589242058</v>
      </c>
      <c r="AB6">
        <v>0.73349633251833746</v>
      </c>
      <c r="AC6" s="10">
        <v>0.72208638956805216</v>
      </c>
      <c r="AD6" s="11">
        <v>0.73431132844335778</v>
      </c>
      <c r="AE6">
        <v>0.73023634881825594</v>
      </c>
      <c r="AF6" s="12">
        <v>0.7318663406682967</v>
      </c>
      <c r="AG6">
        <v>0.70578647106764469</v>
      </c>
      <c r="AH6">
        <v>0.72942135289323551</v>
      </c>
      <c r="AI6">
        <v>0.67481662591687042</v>
      </c>
      <c r="AJ6">
        <v>0.69682151589242058</v>
      </c>
      <c r="AK6">
        <v>0.73268133659331702</v>
      </c>
    </row>
    <row r="7" spans="1:37" x14ac:dyDescent="0.25">
      <c r="A7" s="2">
        <v>250</v>
      </c>
      <c r="B7">
        <v>0.71556642216788913</v>
      </c>
      <c r="C7">
        <v>0.73105134474327627</v>
      </c>
      <c r="D7">
        <v>0.72697636511817443</v>
      </c>
      <c r="E7">
        <v>0.73268133659331702</v>
      </c>
      <c r="F7">
        <v>0.70904645476772621</v>
      </c>
      <c r="G7">
        <v>0.72616136919315399</v>
      </c>
      <c r="H7">
        <v>0.6886715566422168</v>
      </c>
      <c r="I7">
        <v>0.68948655256723712</v>
      </c>
      <c r="J7">
        <v>0.72534637326813367</v>
      </c>
      <c r="K7">
        <v>0.71556642216788913</v>
      </c>
      <c r="L7">
        <v>0.73105134474327627</v>
      </c>
      <c r="M7">
        <v>0.72616136919315399</v>
      </c>
      <c r="N7">
        <v>0.73268133659331702</v>
      </c>
      <c r="O7">
        <v>0.70904645476772621</v>
      </c>
      <c r="P7">
        <v>0.72616136919315399</v>
      </c>
      <c r="Q7">
        <v>0.6886715566422168</v>
      </c>
      <c r="R7">
        <v>0.68948655256723712</v>
      </c>
      <c r="S7">
        <v>0.72779136104319475</v>
      </c>
      <c r="T7">
        <v>0.71556642216788913</v>
      </c>
      <c r="U7">
        <v>0.73105134474327627</v>
      </c>
      <c r="V7">
        <v>0.72616136919315399</v>
      </c>
      <c r="W7">
        <v>0.73268133659331702</v>
      </c>
      <c r="X7">
        <v>0.70904645476772621</v>
      </c>
      <c r="Y7">
        <v>0.72697636511817443</v>
      </c>
      <c r="Z7">
        <v>0.6886715566422168</v>
      </c>
      <c r="AA7">
        <v>0.68948655256723712</v>
      </c>
      <c r="AB7">
        <v>0.72616136919315399</v>
      </c>
      <c r="AC7" s="10">
        <v>0.71556642216788913</v>
      </c>
      <c r="AD7" s="11">
        <v>0.73105134474327627</v>
      </c>
      <c r="AE7">
        <v>0.72697636511817443</v>
      </c>
      <c r="AF7" s="12">
        <v>0.73268133659331702</v>
      </c>
      <c r="AG7">
        <v>0.70904645476772621</v>
      </c>
      <c r="AH7">
        <v>0.72616136919315399</v>
      </c>
      <c r="AI7">
        <v>0.6886715566422168</v>
      </c>
      <c r="AJ7">
        <v>0.68948655256723712</v>
      </c>
      <c r="AK7">
        <v>0.72534637326813367</v>
      </c>
    </row>
    <row r="8" spans="1:37" x14ac:dyDescent="0.25">
      <c r="A8" s="2">
        <v>300</v>
      </c>
      <c r="B8">
        <v>0.71882640586797064</v>
      </c>
      <c r="C8">
        <v>0.73349633251833746</v>
      </c>
      <c r="D8">
        <v>0.72697636511817443</v>
      </c>
      <c r="E8">
        <v>0.73105134474327627</v>
      </c>
      <c r="F8">
        <v>0.71149144254278729</v>
      </c>
      <c r="G8">
        <v>0.72860635696821519</v>
      </c>
      <c r="H8">
        <v>0.69193154034229831</v>
      </c>
      <c r="I8">
        <v>0.69356153219233907</v>
      </c>
      <c r="J8">
        <v>0.72697636511817443</v>
      </c>
      <c r="K8">
        <v>0.71882640586797064</v>
      </c>
      <c r="L8">
        <v>0.73349633251833746</v>
      </c>
      <c r="M8">
        <v>0.72779136104319475</v>
      </c>
      <c r="N8">
        <v>0.73105134474327627</v>
      </c>
      <c r="O8">
        <v>0.71149144254278729</v>
      </c>
      <c r="P8">
        <v>0.72779136104319475</v>
      </c>
      <c r="Q8">
        <v>0.69193154034229831</v>
      </c>
      <c r="R8">
        <v>0.69356153219233907</v>
      </c>
      <c r="S8">
        <v>0.72779136104319475</v>
      </c>
      <c r="T8">
        <v>0.71882640586797064</v>
      </c>
      <c r="U8">
        <v>0.73349633251833746</v>
      </c>
      <c r="V8">
        <v>0.72779136104319475</v>
      </c>
      <c r="W8">
        <v>0.73105134474327627</v>
      </c>
      <c r="X8">
        <v>0.71149144254278729</v>
      </c>
      <c r="Y8">
        <v>0.72697636511817443</v>
      </c>
      <c r="Z8">
        <v>0.69193154034229831</v>
      </c>
      <c r="AA8">
        <v>0.69356153219233907</v>
      </c>
      <c r="AB8">
        <v>0.72697636511817443</v>
      </c>
      <c r="AC8" s="10">
        <v>0.71882640586797064</v>
      </c>
      <c r="AD8" s="11">
        <v>0.73349633251833746</v>
      </c>
      <c r="AE8">
        <v>0.72616136919315399</v>
      </c>
      <c r="AF8" s="12">
        <v>0.73105134474327627</v>
      </c>
      <c r="AG8">
        <v>0.71149144254278729</v>
      </c>
      <c r="AH8">
        <v>0.72453137734311324</v>
      </c>
      <c r="AI8">
        <v>0.69193154034229831</v>
      </c>
      <c r="AJ8">
        <v>0.69356153219233907</v>
      </c>
      <c r="AK8">
        <v>0.72779136104319475</v>
      </c>
    </row>
    <row r="9" spans="1:37" x14ac:dyDescent="0.25">
      <c r="A9" s="2">
        <v>350</v>
      </c>
      <c r="B9">
        <v>0.72860635696821519</v>
      </c>
      <c r="C9">
        <v>0.73675631621841886</v>
      </c>
      <c r="D9">
        <v>0.72127139364303183</v>
      </c>
      <c r="E9">
        <v>0.73105134474327627</v>
      </c>
      <c r="F9">
        <v>0.71230643846780761</v>
      </c>
      <c r="G9">
        <v>0.72127139364303183</v>
      </c>
      <c r="H9">
        <v>0.7033414832925835</v>
      </c>
      <c r="I9">
        <v>0.69437652811735939</v>
      </c>
      <c r="J9">
        <v>0.72208638956805216</v>
      </c>
      <c r="K9">
        <v>0.72860635696821519</v>
      </c>
      <c r="L9">
        <v>0.73675631621841886</v>
      </c>
      <c r="M9">
        <v>0.72208638956805216</v>
      </c>
      <c r="N9">
        <v>0.73105134474327627</v>
      </c>
      <c r="O9">
        <v>0.71230643846780761</v>
      </c>
      <c r="P9">
        <v>0.7204563977180114</v>
      </c>
      <c r="Q9">
        <v>0.7033414832925835</v>
      </c>
      <c r="R9">
        <v>0.69437652811735939</v>
      </c>
      <c r="S9">
        <v>0.72127139364303183</v>
      </c>
      <c r="T9">
        <v>0.72860635696821519</v>
      </c>
      <c r="U9">
        <v>0.73675631621841886</v>
      </c>
      <c r="V9">
        <v>0.7204563977180114</v>
      </c>
      <c r="W9">
        <v>0.73105134474327627</v>
      </c>
      <c r="X9">
        <v>0.71230643846780761</v>
      </c>
      <c r="Y9">
        <v>0.72127139364303183</v>
      </c>
      <c r="Z9">
        <v>0.7033414832925835</v>
      </c>
      <c r="AA9">
        <v>0.69437652811735939</v>
      </c>
      <c r="AB9">
        <v>0.7204563977180114</v>
      </c>
      <c r="AC9" s="10">
        <v>0.72860635696821519</v>
      </c>
      <c r="AD9" s="11">
        <v>0.73675631621841886</v>
      </c>
      <c r="AE9">
        <v>0.72127139364303183</v>
      </c>
      <c r="AF9" s="12">
        <v>0.73105134474327627</v>
      </c>
      <c r="AG9">
        <v>0.71230643846780761</v>
      </c>
      <c r="AH9">
        <v>0.72127139364303183</v>
      </c>
      <c r="AI9">
        <v>0.7033414832925835</v>
      </c>
      <c r="AJ9">
        <v>0.69437652811735939</v>
      </c>
      <c r="AK9">
        <v>0.72127139364303183</v>
      </c>
    </row>
    <row r="10" spans="1:37" x14ac:dyDescent="0.25">
      <c r="A10" s="2">
        <v>400</v>
      </c>
      <c r="B10">
        <v>0.72534637326813367</v>
      </c>
      <c r="C10">
        <v>0.73594132029339854</v>
      </c>
      <c r="D10">
        <v>0.71964140179299108</v>
      </c>
      <c r="E10">
        <v>0.73268133659331702</v>
      </c>
      <c r="F10">
        <v>0.70741646291768545</v>
      </c>
      <c r="G10">
        <v>0.71719641401792988</v>
      </c>
      <c r="H10">
        <v>0.7033414832925835</v>
      </c>
      <c r="I10">
        <v>0.69437652811735939</v>
      </c>
      <c r="J10">
        <v>0.71638141809290956</v>
      </c>
      <c r="K10">
        <v>0.72534637326813367</v>
      </c>
      <c r="L10">
        <v>0.73594132029339854</v>
      </c>
      <c r="M10">
        <v>0.71801140994295032</v>
      </c>
      <c r="N10">
        <v>0.73268133659331702</v>
      </c>
      <c r="O10">
        <v>0.70741646291768545</v>
      </c>
      <c r="P10">
        <v>0.71719641401792988</v>
      </c>
      <c r="Q10">
        <v>0.7033414832925835</v>
      </c>
      <c r="R10">
        <v>0.69437652811735939</v>
      </c>
      <c r="S10">
        <v>0.71801140994295032</v>
      </c>
      <c r="T10">
        <v>0.72534637326813367</v>
      </c>
      <c r="U10">
        <v>0.73594132029339854</v>
      </c>
      <c r="V10">
        <v>0.71882640586797064</v>
      </c>
      <c r="W10">
        <v>0.73268133659331702</v>
      </c>
      <c r="X10">
        <v>0.70741646291768545</v>
      </c>
      <c r="Y10">
        <v>0.71801140994295032</v>
      </c>
      <c r="Z10">
        <v>0.7033414832925835</v>
      </c>
      <c r="AA10">
        <v>0.69437652811735939</v>
      </c>
      <c r="AB10">
        <v>0.71882640586797064</v>
      </c>
      <c r="AC10" s="10">
        <v>0.72534637326813367</v>
      </c>
      <c r="AD10" s="11">
        <v>0.73594132029339854</v>
      </c>
      <c r="AE10">
        <v>0.71638141809290956</v>
      </c>
      <c r="AF10" s="12">
        <v>0.73268133659331702</v>
      </c>
      <c r="AG10">
        <v>0.70741646291768545</v>
      </c>
      <c r="AH10">
        <v>0.71719641401792988</v>
      </c>
      <c r="AI10">
        <v>0.7033414832925835</v>
      </c>
      <c r="AJ10">
        <v>0.69437652811735939</v>
      </c>
      <c r="AK10">
        <v>0.71556642216788913</v>
      </c>
    </row>
    <row r="11" spans="1:37" x14ac:dyDescent="0.25">
      <c r="A11" s="2">
        <v>450</v>
      </c>
      <c r="B11">
        <v>0.72697636511817443</v>
      </c>
      <c r="C11">
        <v>0.73675631621841886</v>
      </c>
      <c r="D11">
        <v>0.71312143439282805</v>
      </c>
      <c r="E11">
        <v>0.73105134474327627</v>
      </c>
      <c r="F11">
        <v>0.71230643846780761</v>
      </c>
      <c r="G11">
        <v>0.71312143439282805</v>
      </c>
      <c r="H11">
        <v>0.69926650366748166</v>
      </c>
      <c r="I11">
        <v>0.70008149959250199</v>
      </c>
      <c r="J11">
        <v>0.71230643846780761</v>
      </c>
      <c r="K11">
        <v>0.72697636511817443</v>
      </c>
      <c r="L11">
        <v>0.73675631621841886</v>
      </c>
      <c r="M11">
        <v>0.71312143439282805</v>
      </c>
      <c r="N11">
        <v>0.73105134474327627</v>
      </c>
      <c r="O11">
        <v>0.71230643846780761</v>
      </c>
      <c r="P11">
        <v>0.71312143439282805</v>
      </c>
      <c r="Q11">
        <v>0.69926650366748166</v>
      </c>
      <c r="R11">
        <v>0.70008149959250199</v>
      </c>
      <c r="S11">
        <v>0.71149144254278729</v>
      </c>
      <c r="T11">
        <v>0.72697636511817443</v>
      </c>
      <c r="U11">
        <v>0.73675631621841886</v>
      </c>
      <c r="V11">
        <v>0.71312143439282805</v>
      </c>
      <c r="W11">
        <v>0.73105134474327627</v>
      </c>
      <c r="X11">
        <v>0.71230643846780761</v>
      </c>
      <c r="Y11">
        <v>0.71393643031784837</v>
      </c>
      <c r="Z11">
        <v>0.69926650366748166</v>
      </c>
      <c r="AA11">
        <v>0.70008149959250199</v>
      </c>
      <c r="AB11">
        <v>0.71312143439282805</v>
      </c>
      <c r="AC11" s="10">
        <v>0.72697636511817443</v>
      </c>
      <c r="AD11" s="11">
        <v>0.73675631621841886</v>
      </c>
      <c r="AE11">
        <v>0.71067644661776697</v>
      </c>
      <c r="AF11" s="12">
        <v>0.73105134474327627</v>
      </c>
      <c r="AG11">
        <v>0.71230643846780761</v>
      </c>
      <c r="AH11">
        <v>0.71149144254278729</v>
      </c>
      <c r="AI11">
        <v>0.69926650366748166</v>
      </c>
      <c r="AJ11">
        <v>0.70008149959250199</v>
      </c>
      <c r="AK11">
        <v>0.71230643846780761</v>
      </c>
    </row>
    <row r="12" spans="1:37" x14ac:dyDescent="0.25">
      <c r="A12" s="2">
        <v>500</v>
      </c>
      <c r="B12">
        <v>0.73023634881825594</v>
      </c>
      <c r="C12">
        <v>0.73920130399348005</v>
      </c>
      <c r="D12">
        <v>0.70823145884270577</v>
      </c>
      <c r="E12" s="6">
        <v>0.74001629991850004</v>
      </c>
      <c r="F12">
        <v>0.70904645476772621</v>
      </c>
      <c r="G12">
        <v>0.70904645476772621</v>
      </c>
      <c r="H12">
        <v>0.70089649551752242</v>
      </c>
      <c r="I12">
        <v>0.69845150774246134</v>
      </c>
      <c r="J12">
        <v>0.70904645476772621</v>
      </c>
      <c r="K12">
        <v>0.73023634881825594</v>
      </c>
      <c r="L12">
        <v>0.73920130399348005</v>
      </c>
      <c r="M12">
        <v>0.70986145069274653</v>
      </c>
      <c r="N12" s="6">
        <v>0.74001629991850038</v>
      </c>
      <c r="O12">
        <v>0.70904645476772621</v>
      </c>
      <c r="P12">
        <v>0.71067644661776697</v>
      </c>
      <c r="Q12">
        <v>0.70089649551752242</v>
      </c>
      <c r="R12">
        <v>0.69845150774246134</v>
      </c>
      <c r="S12">
        <v>0.70986145069274653</v>
      </c>
      <c r="T12">
        <v>0.73023634881825594</v>
      </c>
      <c r="U12">
        <v>0.73920130399348005</v>
      </c>
      <c r="V12">
        <v>0.70986145069274653</v>
      </c>
      <c r="W12" s="6">
        <v>0.74001629991850038</v>
      </c>
      <c r="X12">
        <v>0.70904645476772621</v>
      </c>
      <c r="Y12">
        <v>0.70986145069274653</v>
      </c>
      <c r="Z12">
        <v>0.70089649551752242</v>
      </c>
      <c r="AA12">
        <v>0.69845150774246134</v>
      </c>
      <c r="AB12">
        <v>0.70904645476772621</v>
      </c>
      <c r="AC12" s="10">
        <v>0.73023634881825594</v>
      </c>
      <c r="AD12" s="11">
        <v>0.73920130399348005</v>
      </c>
      <c r="AE12">
        <v>0.71067644661776697</v>
      </c>
      <c r="AF12" s="6">
        <v>0.74001629991850038</v>
      </c>
      <c r="AG12">
        <v>0.70904645476772621</v>
      </c>
      <c r="AH12">
        <v>0.71067644661776697</v>
      </c>
      <c r="AI12">
        <v>0.70089649551752242</v>
      </c>
      <c r="AJ12">
        <v>0.69845150774246134</v>
      </c>
      <c r="AK12">
        <v>0.71067644661776697</v>
      </c>
    </row>
    <row r="13" spans="1:37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7" x14ac:dyDescent="0.25">
      <c r="A14" s="2" t="s">
        <v>8</v>
      </c>
      <c r="B14" s="14" t="s">
        <v>0</v>
      </c>
      <c r="C14" s="14"/>
      <c r="D14" s="14"/>
      <c r="E14" s="14"/>
      <c r="F14" s="14"/>
      <c r="G14" s="14"/>
      <c r="H14" s="14"/>
      <c r="I14" s="14"/>
      <c r="J14" s="14"/>
      <c r="K14" s="14" t="s">
        <v>1</v>
      </c>
      <c r="L14" s="14"/>
      <c r="M14" s="14"/>
      <c r="N14" s="14"/>
      <c r="O14" s="14"/>
      <c r="P14" s="14"/>
      <c r="Q14" s="14"/>
      <c r="R14" s="14"/>
      <c r="S14" s="14"/>
      <c r="T14" s="14" t="s">
        <v>5</v>
      </c>
      <c r="U14" s="14"/>
      <c r="V14" s="14"/>
      <c r="W14" s="14"/>
      <c r="X14" s="14"/>
      <c r="Y14" s="14"/>
      <c r="Z14" s="14"/>
      <c r="AA14" s="14"/>
      <c r="AB14" s="14"/>
      <c r="AC14" s="14" t="s">
        <v>6</v>
      </c>
      <c r="AD14" s="14"/>
      <c r="AE14" s="14"/>
      <c r="AF14" s="14"/>
      <c r="AG14" s="14"/>
      <c r="AH14" s="14"/>
    </row>
    <row r="15" spans="1:37" x14ac:dyDescent="0.25">
      <c r="A15" s="2"/>
      <c r="B15" s="2" t="s">
        <v>2</v>
      </c>
      <c r="C15" s="2" t="s">
        <v>3</v>
      </c>
      <c r="D15" s="2" t="s">
        <v>4</v>
      </c>
      <c r="E15" s="2" t="s">
        <v>2</v>
      </c>
      <c r="F15" s="2" t="s">
        <v>3</v>
      </c>
      <c r="G15" s="2" t="s">
        <v>4</v>
      </c>
      <c r="H15" s="2" t="s">
        <v>2</v>
      </c>
      <c r="I15" s="2" t="s">
        <v>3</v>
      </c>
      <c r="J15" s="2" t="s">
        <v>4</v>
      </c>
      <c r="K15" s="2" t="s">
        <v>2</v>
      </c>
      <c r="L15" s="2" t="s">
        <v>3</v>
      </c>
      <c r="M15" s="2" t="s">
        <v>4</v>
      </c>
      <c r="N15" s="2" t="s">
        <v>2</v>
      </c>
      <c r="O15" s="2" t="s">
        <v>3</v>
      </c>
      <c r="P15" s="2" t="s">
        <v>4</v>
      </c>
      <c r="Q15" s="2" t="s">
        <v>2</v>
      </c>
      <c r="R15" s="2" t="s">
        <v>3</v>
      </c>
      <c r="S15" s="2" t="s">
        <v>4</v>
      </c>
      <c r="T15" s="2" t="s">
        <v>2</v>
      </c>
      <c r="U15" s="2" t="s">
        <v>3</v>
      </c>
      <c r="V15" s="2" t="s">
        <v>4</v>
      </c>
      <c r="W15" s="2" t="s">
        <v>2</v>
      </c>
      <c r="X15" s="2" t="s">
        <v>3</v>
      </c>
      <c r="Y15" s="2" t="s">
        <v>4</v>
      </c>
      <c r="Z15" s="2" t="s">
        <v>2</v>
      </c>
      <c r="AA15" s="2" t="s">
        <v>3</v>
      </c>
      <c r="AB15" s="2" t="s">
        <v>4</v>
      </c>
      <c r="AC15" s="2" t="s">
        <v>2</v>
      </c>
      <c r="AD15" s="2" t="s">
        <v>3</v>
      </c>
      <c r="AE15" s="2" t="s">
        <v>4</v>
      </c>
      <c r="AF15" s="2" t="s">
        <v>2</v>
      </c>
      <c r="AG15" s="2" t="s">
        <v>3</v>
      </c>
      <c r="AH15" s="2" t="s">
        <v>4</v>
      </c>
      <c r="AI15" s="2" t="s">
        <v>2</v>
      </c>
      <c r="AJ15" s="2" t="s">
        <v>3</v>
      </c>
      <c r="AK15" s="2" t="s">
        <v>4</v>
      </c>
    </row>
    <row r="16" spans="1:37" x14ac:dyDescent="0.25">
      <c r="A16" s="2"/>
      <c r="B16" s="14">
        <v>0.9</v>
      </c>
      <c r="C16" s="14"/>
      <c r="D16" s="14"/>
      <c r="E16" s="14">
        <v>0.5</v>
      </c>
      <c r="F16" s="14"/>
      <c r="G16" s="14"/>
      <c r="H16" s="14">
        <v>0.1</v>
      </c>
      <c r="I16" s="14"/>
      <c r="J16" s="14"/>
      <c r="K16" s="14">
        <v>0.9</v>
      </c>
      <c r="L16" s="14"/>
      <c r="M16" s="14"/>
      <c r="N16" s="14">
        <v>0.5</v>
      </c>
      <c r="O16" s="14"/>
      <c r="P16" s="14"/>
      <c r="Q16" s="14">
        <v>0.1</v>
      </c>
      <c r="R16" s="14"/>
      <c r="S16" s="14"/>
      <c r="T16" s="14">
        <v>0.9</v>
      </c>
      <c r="U16" s="14"/>
      <c r="V16" s="14"/>
      <c r="W16" s="14">
        <v>0.5</v>
      </c>
      <c r="X16" s="14"/>
      <c r="Y16" s="14"/>
      <c r="Z16" s="14">
        <v>0.1</v>
      </c>
      <c r="AA16" s="14"/>
      <c r="AB16" s="14"/>
      <c r="AC16" s="14">
        <v>0.9</v>
      </c>
      <c r="AD16" s="14"/>
      <c r="AE16" s="14"/>
      <c r="AF16" s="14">
        <v>0.5</v>
      </c>
      <c r="AG16" s="14"/>
      <c r="AH16" s="14"/>
      <c r="AI16" s="14">
        <v>0.1</v>
      </c>
      <c r="AJ16" s="14"/>
      <c r="AK16" s="14"/>
    </row>
    <row r="17" spans="1:37" x14ac:dyDescent="0.25">
      <c r="A17" s="2">
        <v>100</v>
      </c>
      <c r="B17">
        <v>0.71285475792988318</v>
      </c>
      <c r="C17">
        <v>0.70723684210526316</v>
      </c>
      <c r="D17">
        <v>0.734136546184739</v>
      </c>
      <c r="E17">
        <v>0.71707317073170729</v>
      </c>
      <c r="F17">
        <v>0.69300411522633742</v>
      </c>
      <c r="G17">
        <v>0.73311897106109325</v>
      </c>
      <c r="H17">
        <v>0.68366533864541834</v>
      </c>
      <c r="I17">
        <v>0.68288726682887269</v>
      </c>
      <c r="J17">
        <v>0.73472668810289388</v>
      </c>
      <c r="K17">
        <v>0.71285475792988318</v>
      </c>
      <c r="L17">
        <v>0.70723684210526316</v>
      </c>
      <c r="M17">
        <v>0.734136546184739</v>
      </c>
      <c r="N17">
        <v>0.71707317073170729</v>
      </c>
      <c r="O17">
        <v>0.69300411522633742</v>
      </c>
      <c r="P17">
        <v>0.73472668810289388</v>
      </c>
      <c r="Q17">
        <v>0.68366533864541834</v>
      </c>
      <c r="R17">
        <v>0.68288726682887269</v>
      </c>
      <c r="S17">
        <v>0.734136546184739</v>
      </c>
      <c r="T17">
        <v>0.71285475792988318</v>
      </c>
      <c r="U17">
        <v>0.70723684210526305</v>
      </c>
      <c r="V17">
        <v>0.73472668810289399</v>
      </c>
      <c r="W17">
        <v>0.71707317073170729</v>
      </c>
      <c r="X17">
        <v>0.69300411522633742</v>
      </c>
      <c r="Y17">
        <v>0.73472668810289388</v>
      </c>
      <c r="Z17">
        <v>0.68366533864541834</v>
      </c>
      <c r="AA17">
        <v>0.68288726682887269</v>
      </c>
      <c r="AB17">
        <v>0.73574297188755022</v>
      </c>
      <c r="AC17" s="10">
        <v>0.71285475792988318</v>
      </c>
      <c r="AD17" s="11">
        <v>0.70723684210526305</v>
      </c>
      <c r="AE17">
        <v>0.73311897106109325</v>
      </c>
      <c r="AF17" s="12">
        <v>0.71707317073170729</v>
      </c>
      <c r="AG17">
        <v>0.69300411522633742</v>
      </c>
      <c r="AH17">
        <v>0.7351524879614767</v>
      </c>
      <c r="AI17">
        <v>0.68366533864541834</v>
      </c>
      <c r="AJ17">
        <v>0.68288726682887269</v>
      </c>
      <c r="AK17">
        <v>0.7351524879614767</v>
      </c>
    </row>
    <row r="18" spans="1:37" x14ac:dyDescent="0.25">
      <c r="A18" s="2">
        <v>150</v>
      </c>
      <c r="B18">
        <v>0.70864819479429053</v>
      </c>
      <c r="C18">
        <v>0.71862182116488926</v>
      </c>
      <c r="D18">
        <v>0.73717948717948723</v>
      </c>
      <c r="E18">
        <v>0.72064777327935226</v>
      </c>
      <c r="F18">
        <v>0.70123456790123462</v>
      </c>
      <c r="G18">
        <v>0.73819055244195353</v>
      </c>
      <c r="H18">
        <v>0.68562144597887897</v>
      </c>
      <c r="I18">
        <v>0.68704746580852771</v>
      </c>
      <c r="J18">
        <v>0.73717948717948723</v>
      </c>
      <c r="K18">
        <v>0.70864819479429053</v>
      </c>
      <c r="L18">
        <v>0.71862182116488926</v>
      </c>
      <c r="M18">
        <v>0.73878205128205132</v>
      </c>
      <c r="N18">
        <v>0.72064777327935226</v>
      </c>
      <c r="O18">
        <v>0.70123456790123462</v>
      </c>
      <c r="P18">
        <v>0.73878205128205132</v>
      </c>
      <c r="Q18">
        <v>0.68562144597887897</v>
      </c>
      <c r="R18">
        <v>0.68704746580852771</v>
      </c>
      <c r="S18">
        <v>0.73819055244195353</v>
      </c>
      <c r="T18">
        <v>0.70864819479429053</v>
      </c>
      <c r="U18">
        <v>0.71862182116488926</v>
      </c>
      <c r="V18">
        <v>0.73819055244195353</v>
      </c>
      <c r="W18">
        <v>0.72064777327935226</v>
      </c>
      <c r="X18">
        <v>0.70123456790123462</v>
      </c>
      <c r="Y18">
        <v>0.73819055244195353</v>
      </c>
      <c r="Z18">
        <v>0.68562144597887897</v>
      </c>
      <c r="AA18">
        <v>0.68704746580852771</v>
      </c>
      <c r="AB18">
        <v>0.73819055244195353</v>
      </c>
      <c r="AC18" s="10">
        <v>0.70864819479429053</v>
      </c>
      <c r="AD18" s="11">
        <v>0.71862182116488926</v>
      </c>
      <c r="AE18">
        <v>0.73878205128205132</v>
      </c>
      <c r="AF18" s="12">
        <v>0.72064777327935226</v>
      </c>
      <c r="AG18">
        <v>0.70123456790123462</v>
      </c>
      <c r="AH18">
        <v>0.73777064955894145</v>
      </c>
      <c r="AI18">
        <v>0.68562144597887897</v>
      </c>
      <c r="AJ18">
        <v>0.68704746580852771</v>
      </c>
      <c r="AK18">
        <v>0.73819055244195353</v>
      </c>
    </row>
    <row r="19" spans="1:37" x14ac:dyDescent="0.25">
      <c r="A19" s="2">
        <v>200</v>
      </c>
      <c r="B19">
        <v>0.7160699417152373</v>
      </c>
      <c r="C19">
        <v>0.7336601307189542</v>
      </c>
      <c r="D19">
        <v>0.73885350318471332</v>
      </c>
      <c r="E19">
        <v>0.73616680032076987</v>
      </c>
      <c r="F19">
        <v>0.70336894001643391</v>
      </c>
      <c r="G19" s="9">
        <v>0.73944223107569695</v>
      </c>
      <c r="H19">
        <v>0.67796610169491522</v>
      </c>
      <c r="I19">
        <v>0.70096463022508038</v>
      </c>
      <c r="J19">
        <v>0.73885350318471332</v>
      </c>
      <c r="K19">
        <v>0.7160699417152373</v>
      </c>
      <c r="L19">
        <v>0.7336601307189542</v>
      </c>
      <c r="M19" s="6">
        <v>0.74003189792663504</v>
      </c>
      <c r="N19">
        <v>0.73616680032076987</v>
      </c>
      <c r="O19">
        <v>0.70336894001643391</v>
      </c>
      <c r="P19" s="7">
        <v>0.73944223107569718</v>
      </c>
      <c r="Q19">
        <v>0.67796610169491522</v>
      </c>
      <c r="R19">
        <v>0.70096463022508038</v>
      </c>
      <c r="S19">
        <v>0.73885350318471332</v>
      </c>
      <c r="T19">
        <v>0.7160699417152373</v>
      </c>
      <c r="U19">
        <v>0.7336601307189542</v>
      </c>
      <c r="V19">
        <v>0.73843700159489634</v>
      </c>
      <c r="W19">
        <v>0.73616680032076987</v>
      </c>
      <c r="X19">
        <v>0.70336894001643391</v>
      </c>
      <c r="Y19">
        <v>0.73885350318471332</v>
      </c>
      <c r="Z19">
        <v>0.67796610169491522</v>
      </c>
      <c r="AA19">
        <v>0.70096463022508038</v>
      </c>
      <c r="AB19" s="7">
        <v>0.73944223107569718</v>
      </c>
      <c r="AC19" s="10">
        <v>0.7160699417152373</v>
      </c>
      <c r="AD19" s="11">
        <v>0.7336601307189542</v>
      </c>
      <c r="AE19">
        <v>0.73583399840383079</v>
      </c>
      <c r="AF19" s="12">
        <v>0.73616680032076987</v>
      </c>
      <c r="AG19">
        <v>0.70336894001643391</v>
      </c>
      <c r="AH19">
        <v>0.73482428115015974</v>
      </c>
      <c r="AI19">
        <v>0.67796610169491522</v>
      </c>
      <c r="AJ19">
        <v>0.70096463022508038</v>
      </c>
      <c r="AK19">
        <v>0.73885350318471332</v>
      </c>
    </row>
    <row r="20" spans="1:37" x14ac:dyDescent="0.25">
      <c r="A20" s="2">
        <v>250</v>
      </c>
      <c r="B20">
        <v>0.71416871416871419</v>
      </c>
      <c r="C20">
        <v>0.73127035830618892</v>
      </c>
      <c r="D20">
        <v>0.73178542834267413</v>
      </c>
      <c r="E20">
        <v>0.73333333333333328</v>
      </c>
      <c r="F20">
        <v>0.70713699753896642</v>
      </c>
      <c r="G20">
        <v>0.73119999999999996</v>
      </c>
      <c r="H20">
        <v>0.6919354838709677</v>
      </c>
      <c r="I20">
        <v>0.69495596477181742</v>
      </c>
      <c r="J20">
        <v>0.73061550759392491</v>
      </c>
      <c r="K20">
        <v>0.71416871416871419</v>
      </c>
      <c r="L20">
        <v>0.73127035830618892</v>
      </c>
      <c r="M20">
        <v>0.73119999999999996</v>
      </c>
      <c r="N20">
        <v>0.73333333333333328</v>
      </c>
      <c r="O20">
        <v>0.70713699753896642</v>
      </c>
      <c r="P20">
        <v>0.73162939297124596</v>
      </c>
      <c r="Q20">
        <v>0.6919354838709677</v>
      </c>
      <c r="R20">
        <v>0.69495596477181742</v>
      </c>
      <c r="S20">
        <v>0.73280000000000001</v>
      </c>
      <c r="T20">
        <v>0.71416871416871419</v>
      </c>
      <c r="U20">
        <v>0.73127035830618892</v>
      </c>
      <c r="V20">
        <v>0.73119999999999996</v>
      </c>
      <c r="W20">
        <v>0.73333333333333328</v>
      </c>
      <c r="X20">
        <v>0.70713699753896642</v>
      </c>
      <c r="Y20">
        <v>0.73221422861710628</v>
      </c>
      <c r="Z20">
        <v>0.6919354838709677</v>
      </c>
      <c r="AA20">
        <v>0.69495596477181742</v>
      </c>
      <c r="AB20">
        <v>0.73119999999999996</v>
      </c>
      <c r="AC20" s="10">
        <v>0.71416871416871419</v>
      </c>
      <c r="AD20" s="11">
        <v>0.73127035830618892</v>
      </c>
      <c r="AE20">
        <v>0.73178542834267413</v>
      </c>
      <c r="AF20" s="12">
        <v>0.73333333333333328</v>
      </c>
      <c r="AG20">
        <v>0.70713699753896642</v>
      </c>
      <c r="AH20">
        <v>0.73076923076923073</v>
      </c>
      <c r="AI20">
        <v>0.6919354838709677</v>
      </c>
      <c r="AJ20">
        <v>0.69495596477181742</v>
      </c>
      <c r="AK20">
        <v>0.73061550759392491</v>
      </c>
    </row>
    <row r="21" spans="1:37" x14ac:dyDescent="0.25">
      <c r="A21" s="2">
        <v>300</v>
      </c>
      <c r="B21">
        <v>0.71744471744471749</v>
      </c>
      <c r="C21">
        <v>0.73349633251833746</v>
      </c>
      <c r="D21">
        <v>0.73178542834267413</v>
      </c>
      <c r="E21">
        <v>0.73257698541329008</v>
      </c>
      <c r="F21">
        <v>0.71219512195121948</v>
      </c>
      <c r="G21">
        <v>0.73338670936749395</v>
      </c>
      <c r="H21">
        <v>0.6961414790996785</v>
      </c>
      <c r="I21">
        <v>0.70015948963317387</v>
      </c>
      <c r="J21">
        <v>0.73221422861710628</v>
      </c>
      <c r="K21">
        <v>0.71744471744471749</v>
      </c>
      <c r="L21">
        <v>0.73349633251833746</v>
      </c>
      <c r="M21">
        <v>0.73280000000000001</v>
      </c>
      <c r="N21">
        <v>0.73257698541329008</v>
      </c>
      <c r="O21">
        <v>0.71219512195121948</v>
      </c>
      <c r="P21">
        <v>0.73280000000000001</v>
      </c>
      <c r="Q21">
        <v>0.6961414790996785</v>
      </c>
      <c r="R21">
        <v>0.70015948963317387</v>
      </c>
      <c r="S21">
        <v>0.73280000000000001</v>
      </c>
      <c r="T21">
        <v>0.71744471744471749</v>
      </c>
      <c r="U21">
        <v>0.73349633251833746</v>
      </c>
      <c r="V21">
        <v>0.73280000000000001</v>
      </c>
      <c r="W21">
        <v>0.73257698541329008</v>
      </c>
      <c r="X21">
        <v>0.71219512195121948</v>
      </c>
      <c r="Y21">
        <v>0.73178542834267413</v>
      </c>
      <c r="Z21">
        <v>0.6961414790996785</v>
      </c>
      <c r="AA21">
        <v>0.70015948963317387</v>
      </c>
      <c r="AB21">
        <v>0.73178542834267413</v>
      </c>
      <c r="AC21" s="10">
        <v>0.71744471744471749</v>
      </c>
      <c r="AD21" s="11">
        <v>0.73349633251833746</v>
      </c>
      <c r="AE21">
        <v>0.73076923076923073</v>
      </c>
      <c r="AF21" s="12">
        <v>0.73257698541329008</v>
      </c>
      <c r="AG21">
        <v>0.71219512195121948</v>
      </c>
      <c r="AH21">
        <v>0.72916666666666663</v>
      </c>
      <c r="AI21">
        <v>0.6961414790996785</v>
      </c>
      <c r="AJ21">
        <v>0.70015948963317387</v>
      </c>
      <c r="AK21">
        <v>0.73280000000000001</v>
      </c>
    </row>
    <row r="22" spans="1:37" x14ac:dyDescent="0.25">
      <c r="A22" s="2">
        <v>350</v>
      </c>
      <c r="B22">
        <v>0.72410936205468102</v>
      </c>
      <c r="C22">
        <v>0.73675631621841886</v>
      </c>
      <c r="D22">
        <v>0.72596153846153844</v>
      </c>
      <c r="E22">
        <v>0.73127035830618892</v>
      </c>
      <c r="F22">
        <v>0.71370640713706412</v>
      </c>
      <c r="G22">
        <v>0.72596153846153844</v>
      </c>
      <c r="H22">
        <v>0.70597738287560585</v>
      </c>
      <c r="I22">
        <v>0.70261697065820772</v>
      </c>
      <c r="J22">
        <v>0.72654370489174014</v>
      </c>
      <c r="K22">
        <v>0.72410936205468102</v>
      </c>
      <c r="L22">
        <v>0.73675631621841886</v>
      </c>
      <c r="M22">
        <v>0.72698158526821455</v>
      </c>
      <c r="N22">
        <v>0.73127035830618892</v>
      </c>
      <c r="O22">
        <v>0.71370640713706412</v>
      </c>
      <c r="P22">
        <v>0.72538030424339472</v>
      </c>
      <c r="Q22">
        <v>0.70597738287560585</v>
      </c>
      <c r="R22">
        <v>0.70261697065820772</v>
      </c>
      <c r="S22">
        <v>0.72596153846153844</v>
      </c>
      <c r="T22">
        <v>0.72410936205468102</v>
      </c>
      <c r="U22">
        <v>0.73675631621841886</v>
      </c>
      <c r="V22">
        <v>0.72538030424339472</v>
      </c>
      <c r="W22">
        <v>0.73127035830618892</v>
      </c>
      <c r="X22">
        <v>0.71370640713706412</v>
      </c>
      <c r="Y22">
        <v>0.72596153846153844</v>
      </c>
      <c r="Z22">
        <v>0.70597738287560585</v>
      </c>
      <c r="AA22">
        <v>0.70261697065820772</v>
      </c>
      <c r="AB22">
        <v>0.72538030424339472</v>
      </c>
      <c r="AC22" s="10">
        <v>0.72410936205468102</v>
      </c>
      <c r="AD22" s="11">
        <v>0.73675631621841886</v>
      </c>
      <c r="AE22">
        <v>0.72508038585209</v>
      </c>
      <c r="AF22" s="12">
        <v>0.73127035830618892</v>
      </c>
      <c r="AG22">
        <v>0.71370640713706412</v>
      </c>
      <c r="AH22">
        <v>0.72508038585209</v>
      </c>
      <c r="AI22">
        <v>0.70597738287560585</v>
      </c>
      <c r="AJ22">
        <v>0.70261697065820772</v>
      </c>
      <c r="AK22">
        <v>0.72596153846153844</v>
      </c>
    </row>
    <row r="23" spans="1:37" x14ac:dyDescent="0.25">
      <c r="A23" s="2">
        <v>400</v>
      </c>
      <c r="B23">
        <v>0.72033195020746887</v>
      </c>
      <c r="C23">
        <v>0.73658536585365852</v>
      </c>
      <c r="D23">
        <v>0.72435897435897434</v>
      </c>
      <c r="E23">
        <v>0.73333333333333328</v>
      </c>
      <c r="F23">
        <v>0.7083671811535337</v>
      </c>
      <c r="G23">
        <v>0.72262190247801761</v>
      </c>
      <c r="H23">
        <v>0.70163934426229513</v>
      </c>
      <c r="I23">
        <v>0.70261697065820772</v>
      </c>
      <c r="J23">
        <v>0.72160000000000002</v>
      </c>
      <c r="K23">
        <v>0.72033195020746887</v>
      </c>
      <c r="L23">
        <v>0.73658536585365852</v>
      </c>
      <c r="M23">
        <v>0.72319999999999995</v>
      </c>
      <c r="N23">
        <v>0.73333333333333328</v>
      </c>
      <c r="O23">
        <v>0.7083671811535337</v>
      </c>
      <c r="P23">
        <v>0.72262190247801761</v>
      </c>
      <c r="Q23">
        <v>0.70163934426229513</v>
      </c>
      <c r="R23">
        <v>0.70261697065820772</v>
      </c>
      <c r="S23">
        <v>0.72275641025641024</v>
      </c>
      <c r="T23">
        <v>0.72033195020746887</v>
      </c>
      <c r="U23">
        <v>0.73658536585365852</v>
      </c>
      <c r="V23">
        <v>0.7237790232185749</v>
      </c>
      <c r="W23">
        <v>0.73333333333333328</v>
      </c>
      <c r="X23">
        <v>0.7083671811535337</v>
      </c>
      <c r="Y23">
        <v>0.72319999999999995</v>
      </c>
      <c r="Z23">
        <v>0.70163934426229513</v>
      </c>
      <c r="AA23">
        <v>0.70261697065820772</v>
      </c>
      <c r="AB23">
        <v>0.72333600641539697</v>
      </c>
      <c r="AC23" s="10">
        <v>0.72033195020746887</v>
      </c>
      <c r="AD23" s="11">
        <v>0.73658536585365852</v>
      </c>
      <c r="AE23">
        <v>0.7207062600321027</v>
      </c>
      <c r="AF23" s="12">
        <v>0.73333333333333328</v>
      </c>
      <c r="AG23">
        <v>0.7083671811535337</v>
      </c>
      <c r="AH23">
        <v>0.72173215717722539</v>
      </c>
      <c r="AI23">
        <v>0.70163934426229513</v>
      </c>
      <c r="AJ23">
        <v>0.70261697065820772</v>
      </c>
      <c r="AK23">
        <v>0.72057646116893515</v>
      </c>
    </row>
    <row r="24" spans="1:37" x14ac:dyDescent="0.25">
      <c r="A24" s="2">
        <v>450</v>
      </c>
      <c r="B24">
        <v>0.72152950955943473</v>
      </c>
      <c r="C24">
        <v>0.73632653061224485</v>
      </c>
      <c r="D24">
        <v>0.71794871794871795</v>
      </c>
      <c r="E24">
        <v>0.73039215686274506</v>
      </c>
      <c r="F24">
        <v>0.71324126726238835</v>
      </c>
      <c r="G24">
        <v>0.71794871794871795</v>
      </c>
      <c r="H24">
        <v>0.7007299270072993</v>
      </c>
      <c r="I24">
        <v>0.70839936608557841</v>
      </c>
      <c r="J24">
        <v>0.71737389911929539</v>
      </c>
      <c r="K24">
        <v>0.72152950955943473</v>
      </c>
      <c r="L24">
        <v>0.73632653061224485</v>
      </c>
      <c r="M24">
        <v>0.71794871794871795</v>
      </c>
      <c r="N24">
        <v>0.73039215686274506</v>
      </c>
      <c r="O24">
        <v>0.71324126726238835</v>
      </c>
      <c r="P24">
        <v>0.71794871794871795</v>
      </c>
      <c r="Q24">
        <v>0.7007299270072993</v>
      </c>
      <c r="R24">
        <v>0.70839936608557841</v>
      </c>
      <c r="S24">
        <v>0.71634615384615385</v>
      </c>
      <c r="T24">
        <v>0.72152950955943473</v>
      </c>
      <c r="U24">
        <v>0.73632653061224485</v>
      </c>
      <c r="V24">
        <v>0.71794871794871795</v>
      </c>
      <c r="W24">
        <v>0.73039215686274506</v>
      </c>
      <c r="X24">
        <v>0.71324126726238835</v>
      </c>
      <c r="Y24">
        <v>0.71852445870088211</v>
      </c>
      <c r="Z24">
        <v>0.7007299270072993</v>
      </c>
      <c r="AA24">
        <v>0.70839936608557841</v>
      </c>
      <c r="AB24">
        <v>0.71794871794871795</v>
      </c>
      <c r="AC24" s="10">
        <v>0.72152950955943473</v>
      </c>
      <c r="AD24" s="11">
        <v>0.73632653061224485</v>
      </c>
      <c r="AE24">
        <v>0.71531676022453894</v>
      </c>
      <c r="AF24" s="12">
        <v>0.73039215686274506</v>
      </c>
      <c r="AG24">
        <v>0.71324126726238835</v>
      </c>
      <c r="AH24">
        <v>0.71634615384615385</v>
      </c>
      <c r="AI24">
        <v>0.7007299270072993</v>
      </c>
      <c r="AJ24">
        <v>0.70839936608557841</v>
      </c>
      <c r="AK24">
        <v>0.71692060946271052</v>
      </c>
    </row>
    <row r="25" spans="1:37" x14ac:dyDescent="0.25">
      <c r="A25" s="2">
        <v>500</v>
      </c>
      <c r="B25">
        <v>0.72622001654259716</v>
      </c>
      <c r="C25" s="8">
        <v>0.73941368078175895</v>
      </c>
      <c r="D25">
        <v>0.71221864951768488</v>
      </c>
      <c r="E25">
        <v>0.73916598528209321</v>
      </c>
      <c r="F25">
        <v>0.70857142857142852</v>
      </c>
      <c r="G25">
        <v>0.7132530120481928</v>
      </c>
      <c r="H25">
        <v>0.70089649551752242</v>
      </c>
      <c r="I25">
        <v>0.70634920634920639</v>
      </c>
      <c r="J25">
        <v>0.7132530120481928</v>
      </c>
      <c r="K25">
        <v>0.72622001654259716</v>
      </c>
      <c r="L25" s="8">
        <v>0.73941368078175895</v>
      </c>
      <c r="M25">
        <v>0.7138263665594855</v>
      </c>
      <c r="N25">
        <v>0.73916598528209321</v>
      </c>
      <c r="O25">
        <v>0.70857142857142852</v>
      </c>
      <c r="P25">
        <v>0.71531676022453894</v>
      </c>
      <c r="Q25">
        <v>0.70089649551752242</v>
      </c>
      <c r="R25">
        <v>0.70634920634920639</v>
      </c>
      <c r="S25">
        <v>0.7142857142857143</v>
      </c>
      <c r="T25">
        <v>0.72622001654259716</v>
      </c>
      <c r="U25" s="8">
        <v>0.73941368078175895</v>
      </c>
      <c r="V25">
        <v>0.7142857142857143</v>
      </c>
      <c r="W25">
        <v>0.73916598528209321</v>
      </c>
      <c r="X25">
        <v>0.70857142857142852</v>
      </c>
      <c r="Y25">
        <v>0.7142857142857143</v>
      </c>
      <c r="Z25">
        <v>0.70089649551752242</v>
      </c>
      <c r="AA25">
        <v>0.70634920634920639</v>
      </c>
      <c r="AB25">
        <v>0.71371291098636724</v>
      </c>
      <c r="AC25" s="10">
        <v>0.72622001654259716</v>
      </c>
      <c r="AD25" s="8">
        <v>0.73941368078175895</v>
      </c>
      <c r="AE25">
        <v>0.71531676022453894</v>
      </c>
      <c r="AF25" s="12">
        <v>0.73916598528209321</v>
      </c>
      <c r="AG25">
        <v>0.70857142857142852</v>
      </c>
      <c r="AH25">
        <v>0.71531676022453894</v>
      </c>
      <c r="AI25">
        <v>0.70089649551752242</v>
      </c>
      <c r="AJ25">
        <v>0.70634920634920639</v>
      </c>
      <c r="AK25">
        <v>0.71531676022453894</v>
      </c>
    </row>
    <row r="29" spans="1:37" x14ac:dyDescent="0.25">
      <c r="D29">
        <f>LARGE(B4:AK12,1)</f>
        <v>0.74001629991850038</v>
      </c>
      <c r="E29">
        <f>LARGE(B17:AK25,1)</f>
        <v>0.74003189792663504</v>
      </c>
    </row>
    <row r="30" spans="1:37" x14ac:dyDescent="0.25">
      <c r="D30">
        <f>LARGE(B4:AK12,2)</f>
        <v>0.74001629991850038</v>
      </c>
      <c r="E30">
        <f>LARGE(B17:AK25,2)</f>
        <v>0.73944223107569718</v>
      </c>
    </row>
    <row r="31" spans="1:37" x14ac:dyDescent="0.25">
      <c r="D31">
        <f>LARGE(B4:AK12,3)</f>
        <v>0.74001629991850038</v>
      </c>
      <c r="E31">
        <f>LARGE(B17:AK25,3)</f>
        <v>0.73944223107569718</v>
      </c>
    </row>
    <row r="32" spans="1:37" x14ac:dyDescent="0.25">
      <c r="E32">
        <f>LARGE(B17:AK25,4)</f>
        <v>0.73944223107569695</v>
      </c>
    </row>
    <row r="33" spans="5:5" x14ac:dyDescent="0.25">
      <c r="E33">
        <f>LARGE(B17:AK25,5)</f>
        <v>0.73941368078175895</v>
      </c>
    </row>
    <row r="34" spans="5:5" x14ac:dyDescent="0.25">
      <c r="E34">
        <f>LARGE(B17:AK25,6)</f>
        <v>0.73941368078175895</v>
      </c>
    </row>
  </sheetData>
  <mergeCells count="32">
    <mergeCell ref="Z16:AB16"/>
    <mergeCell ref="AI3:AK3"/>
    <mergeCell ref="AI16:AK16"/>
    <mergeCell ref="H3:J3"/>
    <mergeCell ref="H16:J16"/>
    <mergeCell ref="Q16:S16"/>
    <mergeCell ref="AC16:AE16"/>
    <mergeCell ref="AF16:AH16"/>
    <mergeCell ref="W16:Y16"/>
    <mergeCell ref="AC3:AE3"/>
    <mergeCell ref="AF3:AH3"/>
    <mergeCell ref="AC14:AH14"/>
    <mergeCell ref="T14:AB14"/>
    <mergeCell ref="K14:S14"/>
    <mergeCell ref="B14:J14"/>
    <mergeCell ref="Q3:S3"/>
    <mergeCell ref="B16:D16"/>
    <mergeCell ref="E16:G16"/>
    <mergeCell ref="K16:M16"/>
    <mergeCell ref="N16:P16"/>
    <mergeCell ref="T16:V16"/>
    <mergeCell ref="AC1:AH1"/>
    <mergeCell ref="B3:D3"/>
    <mergeCell ref="E3:G3"/>
    <mergeCell ref="K3:M3"/>
    <mergeCell ref="N3:P3"/>
    <mergeCell ref="T3:V3"/>
    <mergeCell ref="W3:Y3"/>
    <mergeCell ref="B1:J1"/>
    <mergeCell ref="K1:S1"/>
    <mergeCell ref="T1:AB1"/>
    <mergeCell ref="Z3:AB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5697-32ED-418A-8F14-329438DA14F3}">
  <dimension ref="A1:I55"/>
  <sheetViews>
    <sheetView tabSelected="1" zoomScale="112" zoomScaleNormal="79" workbookViewId="0">
      <selection activeCell="T9" sqref="T9"/>
    </sheetView>
  </sheetViews>
  <sheetFormatPr defaultRowHeight="15" x14ac:dyDescent="0.25"/>
  <cols>
    <col min="1" max="1" width="8.28515625" bestFit="1" customWidth="1"/>
  </cols>
  <sheetData>
    <row r="1" spans="1:9" x14ac:dyDescent="0.25">
      <c r="A1" s="2" t="s">
        <v>7</v>
      </c>
      <c r="F1" s="2" t="s">
        <v>8</v>
      </c>
    </row>
    <row r="2" spans="1:9" x14ac:dyDescent="0.25">
      <c r="A2" s="2"/>
      <c r="B2" s="13">
        <v>0.9</v>
      </c>
      <c r="C2" s="13"/>
      <c r="D2" s="1">
        <v>0.5</v>
      </c>
      <c r="F2" s="2"/>
      <c r="G2" s="13">
        <v>0.9</v>
      </c>
      <c r="H2" s="13"/>
      <c r="I2" s="1">
        <v>0.5</v>
      </c>
    </row>
    <row r="3" spans="1:9" x14ac:dyDescent="0.25">
      <c r="A3" s="2"/>
      <c r="B3" t="s">
        <v>2</v>
      </c>
      <c r="C3" t="s">
        <v>3</v>
      </c>
      <c r="D3" t="s">
        <v>2</v>
      </c>
      <c r="F3" s="2"/>
      <c r="G3" t="s">
        <v>2</v>
      </c>
      <c r="H3" t="s">
        <v>3</v>
      </c>
      <c r="I3" t="s">
        <v>2</v>
      </c>
    </row>
    <row r="4" spans="1:9" x14ac:dyDescent="0.25">
      <c r="A4" s="2">
        <v>100</v>
      </c>
      <c r="B4">
        <v>0.71964140179299108</v>
      </c>
      <c r="C4">
        <v>0.70986145069274653</v>
      </c>
      <c r="D4">
        <v>0.71638141809290956</v>
      </c>
      <c r="F4" s="2">
        <v>100</v>
      </c>
      <c r="G4">
        <v>0.71285475792988318</v>
      </c>
      <c r="H4">
        <v>0.70723684210526305</v>
      </c>
      <c r="I4">
        <v>0.71707317073170729</v>
      </c>
    </row>
    <row r="5" spans="1:9" x14ac:dyDescent="0.25">
      <c r="A5" s="2">
        <v>150</v>
      </c>
      <c r="B5">
        <v>0.71719641401792988</v>
      </c>
      <c r="C5">
        <v>0.7204563977180114</v>
      </c>
      <c r="D5">
        <v>0.71882640586797064</v>
      </c>
      <c r="F5" s="2">
        <v>150</v>
      </c>
      <c r="G5">
        <v>0.70864819479429053</v>
      </c>
      <c r="H5">
        <v>0.71862182116488926</v>
      </c>
      <c r="I5">
        <v>0.72064777327935226</v>
      </c>
    </row>
    <row r="6" spans="1:9" x14ac:dyDescent="0.25">
      <c r="A6" s="2">
        <v>200</v>
      </c>
      <c r="B6">
        <v>0.72208638956805216</v>
      </c>
      <c r="C6">
        <v>0.73431132844335778</v>
      </c>
      <c r="D6">
        <v>0.7318663406682967</v>
      </c>
      <c r="F6" s="2">
        <v>200</v>
      </c>
      <c r="G6">
        <v>0.7160699417152373</v>
      </c>
      <c r="H6">
        <v>0.7336601307189542</v>
      </c>
      <c r="I6">
        <v>0.73616680032076987</v>
      </c>
    </row>
    <row r="7" spans="1:9" x14ac:dyDescent="0.25">
      <c r="A7" s="2">
        <v>250</v>
      </c>
      <c r="B7">
        <v>0.71556642216788913</v>
      </c>
      <c r="C7">
        <v>0.73105134474327627</v>
      </c>
      <c r="D7">
        <v>0.73268133659331702</v>
      </c>
      <c r="F7" s="2">
        <v>250</v>
      </c>
      <c r="G7">
        <v>0.71416871416871419</v>
      </c>
      <c r="H7">
        <v>0.73127035830618892</v>
      </c>
      <c r="I7">
        <v>0.73333333333333328</v>
      </c>
    </row>
    <row r="8" spans="1:9" x14ac:dyDescent="0.25">
      <c r="A8" s="2">
        <v>300</v>
      </c>
      <c r="B8">
        <v>0.71882640586797064</v>
      </c>
      <c r="C8">
        <v>0.73349633251833746</v>
      </c>
      <c r="D8">
        <v>0.73105134474327627</v>
      </c>
      <c r="F8" s="2">
        <v>300</v>
      </c>
      <c r="G8">
        <v>0.71744471744471749</v>
      </c>
      <c r="H8">
        <v>0.73349633251833746</v>
      </c>
      <c r="I8">
        <v>0.73257698541329008</v>
      </c>
    </row>
    <row r="9" spans="1:9" x14ac:dyDescent="0.25">
      <c r="A9" s="2">
        <v>350</v>
      </c>
      <c r="B9">
        <v>0.72860635696821519</v>
      </c>
      <c r="C9">
        <v>0.73675631621841886</v>
      </c>
      <c r="D9">
        <v>0.73105134474327627</v>
      </c>
      <c r="F9" s="2">
        <v>350</v>
      </c>
      <c r="G9">
        <v>0.72410936205468102</v>
      </c>
      <c r="H9">
        <v>0.73675631621841886</v>
      </c>
      <c r="I9">
        <v>0.73127035830618892</v>
      </c>
    </row>
    <row r="10" spans="1:9" x14ac:dyDescent="0.25">
      <c r="A10" s="2">
        <v>400</v>
      </c>
      <c r="B10">
        <v>0.72534637326813367</v>
      </c>
      <c r="C10">
        <v>0.73594132029339854</v>
      </c>
      <c r="D10">
        <v>0.73268133659331702</v>
      </c>
      <c r="F10" s="2">
        <v>400</v>
      </c>
      <c r="G10">
        <v>0.72033195020746887</v>
      </c>
      <c r="H10">
        <v>0.73658536585365852</v>
      </c>
      <c r="I10">
        <v>0.73333333333333328</v>
      </c>
    </row>
    <row r="11" spans="1:9" x14ac:dyDescent="0.25">
      <c r="A11" s="2">
        <v>450</v>
      </c>
      <c r="B11">
        <v>0.72697636511817443</v>
      </c>
      <c r="C11">
        <v>0.73675631621841886</v>
      </c>
      <c r="D11">
        <v>0.73105134474327627</v>
      </c>
      <c r="F11" s="2">
        <v>450</v>
      </c>
      <c r="G11">
        <v>0.72152950955943473</v>
      </c>
      <c r="H11">
        <v>0.73632653061224485</v>
      </c>
      <c r="I11">
        <v>0.73039215686274506</v>
      </c>
    </row>
    <row r="12" spans="1:9" x14ac:dyDescent="0.25">
      <c r="A12" s="2">
        <v>500</v>
      </c>
      <c r="B12">
        <v>0.73023634881825594</v>
      </c>
      <c r="C12">
        <v>0.73920130399348005</v>
      </c>
      <c r="D12">
        <v>0.74001629991850038</v>
      </c>
      <c r="F12" s="2">
        <v>500</v>
      </c>
      <c r="G12">
        <v>0.72622001654259716</v>
      </c>
      <c r="H12">
        <v>0.73941368078175895</v>
      </c>
      <c r="I12">
        <v>0.73916598528209321</v>
      </c>
    </row>
    <row r="13" spans="1:9" x14ac:dyDescent="0.25">
      <c r="A13" s="2">
        <v>550</v>
      </c>
      <c r="B13">
        <v>0.73105134474327627</v>
      </c>
      <c r="C13">
        <v>0.73757131214343929</v>
      </c>
      <c r="D13">
        <v>0.74083129584352081</v>
      </c>
      <c r="F13" s="2">
        <v>550</v>
      </c>
      <c r="G13">
        <v>0.72727272727272729</v>
      </c>
      <c r="H13">
        <v>0.73735725938009788</v>
      </c>
      <c r="I13">
        <v>0.74061990212071782</v>
      </c>
    </row>
    <row r="14" spans="1:9" x14ac:dyDescent="0.25">
      <c r="A14" s="2">
        <v>600</v>
      </c>
      <c r="B14">
        <v>0.73431132844335778</v>
      </c>
      <c r="C14">
        <v>0.73675631621841886</v>
      </c>
      <c r="D14">
        <v>0.73838630806845962</v>
      </c>
      <c r="F14" s="2">
        <v>600</v>
      </c>
      <c r="G14">
        <v>0.73057851239669425</v>
      </c>
      <c r="H14">
        <v>0.7371847030105777</v>
      </c>
      <c r="I14">
        <v>0.73965936739659366</v>
      </c>
    </row>
    <row r="15" spans="1:9" x14ac:dyDescent="0.25">
      <c r="A15" s="2">
        <v>650</v>
      </c>
      <c r="B15">
        <v>0.73268133659331702</v>
      </c>
      <c r="C15">
        <v>0.73594132029339854</v>
      </c>
      <c r="D15">
        <v>0.74164629176854113</v>
      </c>
      <c r="F15" s="2">
        <v>650</v>
      </c>
      <c r="G15">
        <v>0.72847682119205293</v>
      </c>
      <c r="H15">
        <v>0.73615635179153094</v>
      </c>
      <c r="I15">
        <v>0.7424857839155159</v>
      </c>
    </row>
    <row r="16" spans="1:9" x14ac:dyDescent="0.25">
      <c r="A16" s="2">
        <v>700</v>
      </c>
      <c r="B16">
        <v>0.73268133659331702</v>
      </c>
      <c r="C16">
        <v>0.73757131214343929</v>
      </c>
      <c r="D16">
        <v>0.73838630806845962</v>
      </c>
      <c r="F16" s="2">
        <v>700</v>
      </c>
      <c r="G16">
        <v>0.72937293729372932</v>
      </c>
      <c r="H16">
        <v>0.73735725938009788</v>
      </c>
      <c r="I16">
        <v>0.73881204231082176</v>
      </c>
    </row>
    <row r="17" spans="1:9" x14ac:dyDescent="0.25">
      <c r="A17" s="2">
        <v>750</v>
      </c>
      <c r="B17">
        <v>0.73268133659331702</v>
      </c>
      <c r="C17">
        <v>0.73675631621841886</v>
      </c>
      <c r="D17">
        <v>0.74083129584352081</v>
      </c>
      <c r="F17" s="2">
        <v>750</v>
      </c>
      <c r="G17">
        <v>0.72847682119205293</v>
      </c>
      <c r="H17">
        <v>0.73675631621841886</v>
      </c>
      <c r="I17">
        <v>0.74188311688311692</v>
      </c>
    </row>
    <row r="18" spans="1:9" x14ac:dyDescent="0.25">
      <c r="A18" s="2">
        <v>800</v>
      </c>
      <c r="B18">
        <v>0.73349633251833746</v>
      </c>
      <c r="C18">
        <v>0.73675631621841886</v>
      </c>
      <c r="D18">
        <v>0.73757131214343929</v>
      </c>
      <c r="F18" s="2">
        <v>800</v>
      </c>
      <c r="G18">
        <v>0.72952853598014888</v>
      </c>
      <c r="H18">
        <v>0.73632653061224485</v>
      </c>
      <c r="I18">
        <v>0.73948220064724923</v>
      </c>
    </row>
    <row r="19" spans="1:9" x14ac:dyDescent="0.25">
      <c r="A19" s="2">
        <v>850</v>
      </c>
      <c r="B19">
        <v>0.72860635696821519</v>
      </c>
      <c r="C19">
        <v>0.73757131214343929</v>
      </c>
      <c r="D19">
        <v>0.74246128769356157</v>
      </c>
      <c r="F19" s="2">
        <v>850</v>
      </c>
      <c r="G19">
        <v>0.72410936205468102</v>
      </c>
      <c r="H19">
        <v>0.73735725938009788</v>
      </c>
      <c r="I19">
        <v>0.74433656957928807</v>
      </c>
    </row>
    <row r="20" spans="1:9" x14ac:dyDescent="0.25">
      <c r="A20" s="2">
        <v>900</v>
      </c>
      <c r="B20">
        <v>0.7318663406682967</v>
      </c>
      <c r="C20">
        <v>0.74001629991850038</v>
      </c>
      <c r="D20">
        <v>0.74164629176854113</v>
      </c>
      <c r="F20" s="2">
        <v>900</v>
      </c>
      <c r="G20">
        <v>0.72877164056059351</v>
      </c>
      <c r="H20">
        <v>0.73916598528209321</v>
      </c>
      <c r="I20">
        <v>0.74373484236054976</v>
      </c>
    </row>
    <row r="21" spans="1:9" x14ac:dyDescent="0.25">
      <c r="A21" s="2">
        <v>950</v>
      </c>
      <c r="B21">
        <v>0.7351263243683781</v>
      </c>
      <c r="C21">
        <v>0.73920130399348005</v>
      </c>
      <c r="D21">
        <v>0.74327628361858189</v>
      </c>
      <c r="F21" s="2">
        <v>950</v>
      </c>
      <c r="G21">
        <v>0.73206924979389942</v>
      </c>
      <c r="H21">
        <v>0.73941368078175895</v>
      </c>
      <c r="I21">
        <v>0.74535165723524655</v>
      </c>
    </row>
    <row r="22" spans="1:9" x14ac:dyDescent="0.25">
      <c r="A22" s="2">
        <v>1000</v>
      </c>
      <c r="B22">
        <v>0.73268133659331702</v>
      </c>
      <c r="C22">
        <v>0.74083129584352081</v>
      </c>
      <c r="D22">
        <v>0.74327628361858189</v>
      </c>
      <c r="F22" s="2">
        <v>1000</v>
      </c>
      <c r="G22">
        <v>0.72892561983471071</v>
      </c>
      <c r="H22">
        <v>0.74019607843137258</v>
      </c>
      <c r="I22">
        <v>0.74576271186440679</v>
      </c>
    </row>
    <row r="24" spans="1:9" x14ac:dyDescent="0.25">
      <c r="B24">
        <f t="shared" ref="B24:C24" si="0">MAX(B4:B22)</f>
        <v>0.7351263243683781</v>
      </c>
      <c r="C24">
        <f t="shared" si="0"/>
        <v>0.74083129584352081</v>
      </c>
      <c r="D24">
        <f>MAX(D4:D22)</f>
        <v>0.74327628361858189</v>
      </c>
      <c r="G24">
        <f t="shared" ref="G24:I24" si="1">MAX(G4:G22)</f>
        <v>0.73206924979389942</v>
      </c>
      <c r="H24">
        <f t="shared" si="1"/>
        <v>0.74019607843137258</v>
      </c>
      <c r="I24">
        <f t="shared" si="1"/>
        <v>0.74576271186440679</v>
      </c>
    </row>
    <row r="27" spans="1:9" x14ac:dyDescent="0.25">
      <c r="E27">
        <f>MAX(B24:I24)</f>
        <v>0.74576271186440679</v>
      </c>
    </row>
    <row r="32" spans="1:9" x14ac:dyDescent="0.25">
      <c r="A32" s="2" t="s">
        <v>7</v>
      </c>
      <c r="F32" s="2" t="s">
        <v>8</v>
      </c>
    </row>
    <row r="33" spans="1:9" x14ac:dyDescent="0.25">
      <c r="A33" s="2"/>
      <c r="B33" s="13">
        <v>0.9</v>
      </c>
      <c r="C33" s="13"/>
      <c r="D33" s="1">
        <v>0.5</v>
      </c>
      <c r="F33" s="2"/>
      <c r="G33" s="13">
        <v>0.9</v>
      </c>
      <c r="H33" s="13"/>
      <c r="I33" s="1">
        <v>0.5</v>
      </c>
    </row>
    <row r="34" spans="1:9" x14ac:dyDescent="0.25">
      <c r="A34" s="2"/>
      <c r="B34" t="s">
        <v>2</v>
      </c>
      <c r="C34" t="s">
        <v>3</v>
      </c>
      <c r="D34" t="s">
        <v>2</v>
      </c>
      <c r="F34" s="2"/>
      <c r="G34" t="s">
        <v>2</v>
      </c>
      <c r="H34" t="s">
        <v>3</v>
      </c>
      <c r="I34" t="s">
        <v>2</v>
      </c>
    </row>
    <row r="35" spans="1:9" x14ac:dyDescent="0.25">
      <c r="A35" s="2">
        <v>100</v>
      </c>
      <c r="B35">
        <v>0.71964140179299108</v>
      </c>
      <c r="C35">
        <v>0.70986145069274653</v>
      </c>
      <c r="D35">
        <v>0.71638141809290956</v>
      </c>
      <c r="F35" s="2">
        <v>100</v>
      </c>
      <c r="G35">
        <v>0.71285475792988318</v>
      </c>
      <c r="H35">
        <v>0.70723684210526316</v>
      </c>
      <c r="I35">
        <v>0.71707317073170729</v>
      </c>
    </row>
    <row r="36" spans="1:9" x14ac:dyDescent="0.25">
      <c r="A36" s="2">
        <v>150</v>
      </c>
      <c r="B36">
        <v>0.71719641401792988</v>
      </c>
      <c r="C36">
        <v>0.7204563977180114</v>
      </c>
      <c r="D36">
        <v>0.71882640586797064</v>
      </c>
      <c r="F36" s="2">
        <v>150</v>
      </c>
      <c r="G36">
        <v>0.70864819479429053</v>
      </c>
      <c r="H36">
        <v>0.71862182116488926</v>
      </c>
      <c r="I36">
        <v>0.72064777327935226</v>
      </c>
    </row>
    <row r="37" spans="1:9" x14ac:dyDescent="0.25">
      <c r="A37" s="2">
        <v>200</v>
      </c>
      <c r="B37">
        <v>0.72208638956805216</v>
      </c>
      <c r="C37">
        <v>0.73431132844335778</v>
      </c>
      <c r="D37">
        <v>0.7318663406682967</v>
      </c>
      <c r="F37" s="2">
        <v>200</v>
      </c>
      <c r="G37">
        <v>0.7160699417152373</v>
      </c>
      <c r="H37">
        <v>0.7336601307189542</v>
      </c>
      <c r="I37">
        <v>0.73616680032076987</v>
      </c>
    </row>
    <row r="38" spans="1:9" x14ac:dyDescent="0.25">
      <c r="A38" s="2">
        <v>250</v>
      </c>
      <c r="B38">
        <v>0.71556642216788913</v>
      </c>
      <c r="C38">
        <v>0.73105134474327627</v>
      </c>
      <c r="D38">
        <v>0.73268133659331702</v>
      </c>
      <c r="F38" s="2">
        <v>250</v>
      </c>
      <c r="G38">
        <v>0.71416871416871419</v>
      </c>
      <c r="H38">
        <v>0.73127035830618892</v>
      </c>
      <c r="I38">
        <v>0.73333333333333328</v>
      </c>
    </row>
    <row r="39" spans="1:9" x14ac:dyDescent="0.25">
      <c r="A39" s="2">
        <v>300</v>
      </c>
      <c r="B39">
        <v>0.71882640586797064</v>
      </c>
      <c r="C39">
        <v>0.73349633251833746</v>
      </c>
      <c r="D39">
        <v>0.73105134474327627</v>
      </c>
      <c r="F39" s="2">
        <v>300</v>
      </c>
      <c r="G39">
        <v>0.71744471744471749</v>
      </c>
      <c r="H39">
        <v>0.73349633251833746</v>
      </c>
      <c r="I39">
        <v>0.73257698541329008</v>
      </c>
    </row>
    <row r="40" spans="1:9" x14ac:dyDescent="0.25">
      <c r="A40" s="2">
        <v>350</v>
      </c>
      <c r="B40">
        <v>0.72860635696821519</v>
      </c>
      <c r="C40">
        <v>0.73675631621841886</v>
      </c>
      <c r="D40">
        <v>0.73105134474327627</v>
      </c>
      <c r="F40" s="2">
        <v>350</v>
      </c>
      <c r="G40">
        <v>0.72410936205468102</v>
      </c>
      <c r="H40">
        <v>0.73675631621841886</v>
      </c>
      <c r="I40">
        <v>0.73127035830618892</v>
      </c>
    </row>
    <row r="41" spans="1:9" x14ac:dyDescent="0.25">
      <c r="A41" s="2">
        <v>400</v>
      </c>
      <c r="B41">
        <v>0.72534637326813367</v>
      </c>
      <c r="C41">
        <v>0.73594132029339854</v>
      </c>
      <c r="D41">
        <v>0.73268133659331702</v>
      </c>
      <c r="F41" s="2">
        <v>400</v>
      </c>
      <c r="G41">
        <v>0.72033195020746887</v>
      </c>
      <c r="H41">
        <v>0.73658536585365852</v>
      </c>
      <c r="I41">
        <v>0.73333333333333328</v>
      </c>
    </row>
    <row r="42" spans="1:9" x14ac:dyDescent="0.25">
      <c r="A42" s="2">
        <v>450</v>
      </c>
      <c r="B42">
        <v>0.72697636511817443</v>
      </c>
      <c r="C42">
        <v>0.73675631621841886</v>
      </c>
      <c r="D42">
        <v>0.73105134474327627</v>
      </c>
      <c r="F42" s="2">
        <v>450</v>
      </c>
      <c r="G42">
        <v>0.72152950955943473</v>
      </c>
      <c r="H42">
        <v>0.73632653061224485</v>
      </c>
      <c r="I42">
        <v>0.73039215686274506</v>
      </c>
    </row>
    <row r="43" spans="1:9" x14ac:dyDescent="0.25">
      <c r="A43" s="2">
        <v>500</v>
      </c>
      <c r="B43">
        <v>0.73023634881825594</v>
      </c>
      <c r="C43">
        <v>0.73920130399348005</v>
      </c>
      <c r="D43">
        <v>0.74001629991850038</v>
      </c>
      <c r="F43" s="2">
        <v>500</v>
      </c>
      <c r="G43">
        <v>0.72622001654259716</v>
      </c>
      <c r="H43">
        <v>0.73941368078175895</v>
      </c>
      <c r="I43">
        <v>0.73916598528209321</v>
      </c>
    </row>
    <row r="44" spans="1:9" x14ac:dyDescent="0.25">
      <c r="A44" s="2">
        <v>550</v>
      </c>
      <c r="B44">
        <v>0.73105134474327627</v>
      </c>
      <c r="C44">
        <v>0.73757131214343929</v>
      </c>
      <c r="D44">
        <v>0.7318663406682967</v>
      </c>
      <c r="F44" s="2">
        <v>550</v>
      </c>
      <c r="G44">
        <v>0.72727272727272729</v>
      </c>
      <c r="H44">
        <v>0.73735725938009788</v>
      </c>
      <c r="I44">
        <v>0.7296631059983566</v>
      </c>
    </row>
    <row r="45" spans="1:9" x14ac:dyDescent="0.25">
      <c r="A45" s="2">
        <v>600</v>
      </c>
      <c r="B45">
        <v>0.73431132844335778</v>
      </c>
      <c r="C45">
        <v>0.73675631621841886</v>
      </c>
      <c r="D45">
        <v>0.73838630806845962</v>
      </c>
      <c r="F45" s="2">
        <v>600</v>
      </c>
      <c r="G45">
        <v>0.73057851239669425</v>
      </c>
      <c r="H45">
        <v>0.7371847030105777</v>
      </c>
      <c r="I45">
        <v>0.73965936739659366</v>
      </c>
    </row>
    <row r="46" spans="1:9" x14ac:dyDescent="0.25">
      <c r="A46" s="2">
        <v>650</v>
      </c>
      <c r="B46">
        <v>0.73268133659331702</v>
      </c>
      <c r="C46">
        <v>0.73594132029339854</v>
      </c>
      <c r="D46">
        <v>0.74164629176854113</v>
      </c>
      <c r="F46" s="2">
        <v>650</v>
      </c>
      <c r="G46">
        <v>0.72847682119205293</v>
      </c>
      <c r="H46">
        <v>0.73615635179153094</v>
      </c>
      <c r="I46">
        <v>0.7424857839155159</v>
      </c>
    </row>
    <row r="47" spans="1:9" x14ac:dyDescent="0.25">
      <c r="A47" s="2">
        <v>700</v>
      </c>
      <c r="B47">
        <v>0.73268133659331702</v>
      </c>
      <c r="C47">
        <v>0.73757131214343929</v>
      </c>
      <c r="D47">
        <v>0.73838630806845962</v>
      </c>
      <c r="F47" s="2">
        <v>700</v>
      </c>
      <c r="G47">
        <v>0.72937293729372932</v>
      </c>
      <c r="H47">
        <v>0.73735725938009788</v>
      </c>
      <c r="I47">
        <v>0.73881204231082176</v>
      </c>
    </row>
    <row r="48" spans="1:9" x14ac:dyDescent="0.25">
      <c r="A48" s="2">
        <v>750</v>
      </c>
      <c r="B48">
        <v>0.73268133659331702</v>
      </c>
      <c r="C48">
        <v>0.73675631621841886</v>
      </c>
      <c r="D48">
        <v>0.74083129584352081</v>
      </c>
      <c r="F48" s="2">
        <v>750</v>
      </c>
      <c r="G48">
        <v>0.72847682119205293</v>
      </c>
      <c r="H48">
        <v>0.73675631621841886</v>
      </c>
      <c r="I48">
        <v>0.74188311688311692</v>
      </c>
    </row>
    <row r="49" spans="1:9" x14ac:dyDescent="0.25">
      <c r="A49" s="2">
        <v>800</v>
      </c>
      <c r="B49">
        <v>0.73349633251833746</v>
      </c>
      <c r="C49">
        <v>0.73675631621841886</v>
      </c>
      <c r="D49">
        <v>0.74001629991850038</v>
      </c>
      <c r="F49" s="2">
        <v>800</v>
      </c>
      <c r="G49">
        <v>0.72952853598014888</v>
      </c>
      <c r="H49">
        <v>0.73632653061224485</v>
      </c>
      <c r="I49">
        <v>0.73916598528209321</v>
      </c>
    </row>
    <row r="50" spans="1:9" x14ac:dyDescent="0.25">
      <c r="A50" s="2">
        <v>850</v>
      </c>
      <c r="B50">
        <v>0.72860635696821519</v>
      </c>
      <c r="C50">
        <v>0.73757131214343929</v>
      </c>
      <c r="D50">
        <v>0.74246128769356157</v>
      </c>
      <c r="F50" s="2">
        <v>850</v>
      </c>
      <c r="G50">
        <v>0.72410936205468102</v>
      </c>
      <c r="H50">
        <v>0.73735725938009788</v>
      </c>
      <c r="I50">
        <v>0.74433656957928807</v>
      </c>
    </row>
    <row r="51" spans="1:9" x14ac:dyDescent="0.25">
      <c r="A51" s="2">
        <v>900</v>
      </c>
      <c r="B51">
        <v>0.7318663406682967</v>
      </c>
      <c r="C51">
        <v>0.74001629991850038</v>
      </c>
      <c r="D51">
        <v>0.74164629176854113</v>
      </c>
      <c r="F51" s="2">
        <v>900</v>
      </c>
      <c r="G51">
        <v>0.72877164056059351</v>
      </c>
      <c r="H51">
        <v>0.73916598528209321</v>
      </c>
      <c r="I51">
        <v>0.74373484236054976</v>
      </c>
    </row>
    <row r="52" spans="1:9" x14ac:dyDescent="0.25">
      <c r="A52" s="2">
        <v>950</v>
      </c>
      <c r="B52">
        <v>0.7351263243683781</v>
      </c>
      <c r="C52">
        <v>0.73920130399348005</v>
      </c>
      <c r="D52">
        <v>0.74327628361858189</v>
      </c>
      <c r="F52" s="2">
        <v>950</v>
      </c>
      <c r="G52">
        <v>0.73206924979389942</v>
      </c>
      <c r="H52">
        <v>0.73941368078175895</v>
      </c>
      <c r="I52">
        <v>0.74535165723524655</v>
      </c>
    </row>
    <row r="53" spans="1:9" x14ac:dyDescent="0.25">
      <c r="A53" s="2">
        <v>1000</v>
      </c>
      <c r="B53">
        <v>0.73268133659331702</v>
      </c>
      <c r="C53">
        <v>0.74083129584352081</v>
      </c>
      <c r="D53">
        <v>0.74327628361858189</v>
      </c>
      <c r="F53" s="2">
        <v>1000</v>
      </c>
      <c r="G53">
        <v>0.72892561983471071</v>
      </c>
      <c r="H53">
        <v>0.74019607843137258</v>
      </c>
      <c r="I53">
        <v>0.74576271186440679</v>
      </c>
    </row>
    <row r="55" spans="1:9" x14ac:dyDescent="0.25">
      <c r="B55">
        <f>MAX(B35:B53)</f>
        <v>0.7351263243683781</v>
      </c>
      <c r="C55">
        <f>MAX(C35:C53)</f>
        <v>0.74083129584352081</v>
      </c>
      <c r="D55">
        <f>MAX(D35:D53)</f>
        <v>0.74327628361858189</v>
      </c>
      <c r="G55">
        <f>MAX(G35:G53)</f>
        <v>0.73206924979389942</v>
      </c>
      <c r="H55">
        <f t="shared" ref="H55:I55" si="2">MAX(H35:H53)</f>
        <v>0.74019607843137258</v>
      </c>
      <c r="I55">
        <f t="shared" si="2"/>
        <v>0.74576271186440679</v>
      </c>
    </row>
  </sheetData>
  <mergeCells count="4">
    <mergeCell ref="B33:C33"/>
    <mergeCell ref="G33:H33"/>
    <mergeCell ref="B2:C2"/>
    <mergeCell ref="G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Saravanamurali</dc:creator>
  <cp:lastModifiedBy>Nishanth Saravanamurali</cp:lastModifiedBy>
  <dcterms:created xsi:type="dcterms:W3CDTF">2025-01-12T05:00:28Z</dcterms:created>
  <dcterms:modified xsi:type="dcterms:W3CDTF">2025-01-27T05:35:28Z</dcterms:modified>
</cp:coreProperties>
</file>